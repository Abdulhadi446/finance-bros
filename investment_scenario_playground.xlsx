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Summary" sheetId="2" state="visible" r:id="rId4"/>
    <sheet name="Calcul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Portfolio value at month 0, before the first contribution.</t>
        </r>
      </text>
    </comment>
    <comment ref="C6" authorId="0">
      <text>
        <r>
          <rPr>
            <sz val="10"/>
            <rFont val="Arial"/>
            <family val="2"/>
          </rPr>
          <t xml:space="preserve">Contributed at the START of each month (annuity due), same convention as a typical DCA / SIP schedule.</t>
        </r>
      </text>
    </comment>
    <comment ref="C7" authorId="0">
      <text>
        <r>
          <rPr>
            <sz val="10"/>
            <rFont val="Arial"/>
            <family val="2"/>
          </rPr>
          <t xml:space="preserve">Assumed constant monthly price appreciation. A real stock's monthly return varies a lot around whatever average you pick here — this model shows the idealized straight-line path only.</t>
        </r>
      </text>
    </comment>
    <comment ref="C8" authorId="0">
      <text>
        <r>
          <rPr>
            <sz val="10"/>
            <rFont val="Arial"/>
            <family val="2"/>
          </rPr>
          <t xml:space="preserve">Annual dividend yield, applied monthly as Annual Yield / 12 against that month's balance. Set to 0% to model a fund that pays no dividends.</t>
        </r>
      </text>
    </comment>
    <comment ref="C9" authorId="0">
      <text>
        <r>
          <rPr>
            <sz val="10"/>
            <rFont val="Arial"/>
            <family val="2"/>
          </rPr>
          <t xml:space="preserve">Which month's result the Summary sheet pulls out. The Calculation sheet always computes all 120 months so you can see the full curve on the chart.</t>
        </r>
      </text>
    </comment>
  </commentList>
</comments>
</file>

<file path=xl/sharedStrings.xml><?xml version="1.0" encoding="utf-8"?>
<sst xmlns="http://schemas.openxmlformats.org/spreadsheetml/2006/main" count="46" uniqueCount="46">
  <si>
    <t xml:space="preserve">Investment Scenario Playground</t>
  </si>
  <si>
    <t xml:space="preserve">Edit the yellow cells below. Everything else recalculates automatically.</t>
  </si>
  <si>
    <t xml:space="preserve">Starting Balance ($)</t>
  </si>
  <si>
    <t xml:space="preserve">Monthly Contribution ($)</t>
  </si>
  <si>
    <t xml:space="preserve">Monthly Price Growth (%)</t>
  </si>
  <si>
    <t xml:space="preserve">Annual Dividend Yield (%)</t>
  </si>
  <si>
    <t xml:space="preserve">Time Horizon (Months, 1-120)</t>
  </si>
  <si>
    <t xml:space="preserve">How this works</t>
  </si>
  <si>
    <t xml:space="preserve">• Three scenarios run side by side on the Calculation sheet, all from the same inputs above:</t>
  </si>
  <si>
    <t xml:space="preserve">   1) No-Dividend Fund — pure price growth, nothing paid out.</t>
  </si>
  <si>
    <t xml:space="preserve">   2) Dividend Reinvested — dividends buy more shares every month (compounds).</t>
  </si>
  <si>
    <t xml:space="preserve">   3) Dividend Paid as Cash — dividends land in a separate cash pile, portfolio grows from price only.</t>
  </si>
  <si>
    <t xml:space="preserve">• See the Summary sheet for the value of each scenario at your chosen Time Horizon, plus charts.</t>
  </si>
  <si>
    <t xml:space="preserve">• Blue/yellow cells are the only ones meant to be edited — everything else is a live formula.</t>
  </si>
  <si>
    <t xml:space="preserve">Summary @ Chosen Time Horizon</t>
  </si>
  <si>
    <t xml:space="preserve">Horizon (months):</t>
  </si>
  <si>
    <t xml:space="preserve">Scenario</t>
  </si>
  <si>
    <t xml:space="preserve">Total Invested</t>
  </si>
  <si>
    <t xml:space="preserve">Ending Value</t>
  </si>
  <si>
    <t xml:space="preserve">Total Gain</t>
  </si>
  <si>
    <t xml:space="preserve">Return Multiple</t>
  </si>
  <si>
    <t xml:space="preserve">A: No-Dividend Fund</t>
  </si>
  <si>
    <t xml:space="preserve">B: Dividend Reinvested</t>
  </si>
  <si>
    <t xml:space="preserve">C: Dividend Paid as Cash (portfolio + cash)</t>
  </si>
  <si>
    <t xml:space="preserve">Note: Scenario C's cash dividends are simply summed, not reinvested at any return — they'd typically be withdrawn or held separately.</t>
  </si>
  <si>
    <t xml:space="preserve">Scenario A – No Dividend Fund</t>
  </si>
  <si>
    <t xml:space="preserve">Scenario B – Dividend Reinvested</t>
  </si>
  <si>
    <t xml:space="preserve">Scenario C – Dividend Paid as Cash</t>
  </si>
  <si>
    <t xml:space="preserve">Month</t>
  </si>
  <si>
    <t xml:space="preserve">Contribution</t>
  </si>
  <si>
    <t xml:space="preserve">A: Begin Bal</t>
  </si>
  <si>
    <t xml:space="preserve">A: Bal+Contrib</t>
  </si>
  <si>
    <t xml:space="preserve">A: Growth $</t>
  </si>
  <si>
    <t xml:space="preserve">A: End Bal</t>
  </si>
  <si>
    <t xml:space="preserve">B: Begin Bal</t>
  </si>
  <si>
    <t xml:space="preserve">B: Bal+Contrib</t>
  </si>
  <si>
    <t xml:space="preserve">B: Growth $</t>
  </si>
  <si>
    <t xml:space="preserve">B: Dividend $</t>
  </si>
  <si>
    <t xml:space="preserve">B: End Bal</t>
  </si>
  <si>
    <t xml:space="preserve">C: Begin Bal</t>
  </si>
  <si>
    <t xml:space="preserve">C: Bal+Contrib</t>
  </si>
  <si>
    <t xml:space="preserve">C: Growth $</t>
  </si>
  <si>
    <t xml:space="preserve">C: Dividend $ (cash)</t>
  </si>
  <si>
    <t xml:space="preserve">C: End Bal (portfolio)</t>
  </si>
  <si>
    <t xml:space="preserve">C: Cum. Cash Div</t>
  </si>
  <si>
    <t xml:space="preserve">Cumulative Invested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</si>
</sst>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0%"/>
    <numFmt numFmtId="167" formatCode="0"/>
    <numFmt numFmtId="168" formatCode="0.00\x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9"/>
      <color rgb="FF444444"/>
      <name val="Arial"/>
      <family val="0"/>
      <charset val="1"/>
    </font>
    <font>
      <sz val="10"/>
      <name val="Arial"/>
      <family val="2"/>
    </font>
    <font>
      <b val="true"/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BE4B48"/>
      <rgbColor rgb="FFF9F9F9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Portfolio Value Over Time (full 120-month table)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Calculation!F2</c:f>
              <c:strCache>
                <c:ptCount val="1"/>
                <c:pt idx="0">
                  <c:v>A: End Bal</c:v>
                </c:pt>
              </c:strCache>
            </c:strRef>
          </c:tx>
          <c:spPr>
            <a:solidFill>
              <a:srgbClr val="4a7ebb"/>
            </a:solidFill>
            <a:ln w="2016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Calculation!$A$3:$A$122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Calculation!$F$3:$F$122</c:f>
              <c:numCache>
                <c:formatCode>\$#,##0;"($"#,##0\);\-</c:formatCode>
                <c:ptCount val="120"/>
                <c:pt idx="0">
                  <c:v>1010</c:v>
                </c:pt>
                <c:pt idx="1">
                  <c:v>2030.1</c:v>
                </c:pt>
                <c:pt idx="2">
                  <c:v>3060.401</c:v>
                </c:pt>
                <c:pt idx="3">
                  <c:v>4101.00501</c:v>
                </c:pt>
                <c:pt idx="4">
                  <c:v>5152.0150601</c:v>
                </c:pt>
                <c:pt idx="5">
                  <c:v>6213.535210701</c:v>
                </c:pt>
                <c:pt idx="6">
                  <c:v>7285.67056280801</c:v>
                </c:pt>
                <c:pt idx="7">
                  <c:v>8368.52726843609</c:v>
                </c:pt>
                <c:pt idx="8">
                  <c:v>9462.21254112045</c:v>
                </c:pt>
                <c:pt idx="9">
                  <c:v>10566.8346665317</c:v>
                </c:pt>
                <c:pt idx="10">
                  <c:v>11682.503013197</c:v>
                </c:pt>
                <c:pt idx="11">
                  <c:v>12809.3280433289</c:v>
                </c:pt>
                <c:pt idx="12">
                  <c:v>13947.4213237622</c:v>
                </c:pt>
                <c:pt idx="13">
                  <c:v>15096.8955369999</c:v>
                </c:pt>
                <c:pt idx="14">
                  <c:v>16257.8644923699</c:v>
                </c:pt>
                <c:pt idx="15">
                  <c:v>17430.4431372936</c:v>
                </c:pt>
                <c:pt idx="16">
                  <c:v>18614.7475686665</c:v>
                </c:pt>
                <c:pt idx="17">
                  <c:v>19810.8950443532</c:v>
                </c:pt>
                <c:pt idx="18">
                  <c:v>21019.0039947967</c:v>
                </c:pt>
                <c:pt idx="19">
                  <c:v>22239.1940347447</c:v>
                </c:pt>
                <c:pt idx="20">
                  <c:v>23471.5859750921</c:v>
                </c:pt>
                <c:pt idx="21">
                  <c:v>24716.301834843</c:v>
                </c:pt>
                <c:pt idx="22">
                  <c:v>25973.4648531915</c:v>
                </c:pt>
                <c:pt idx="23">
                  <c:v>27243.1995017234</c:v>
                </c:pt>
                <c:pt idx="24">
                  <c:v>28525.6314967406</c:v>
                </c:pt>
                <c:pt idx="25">
                  <c:v>29820.887811708</c:v>
                </c:pt>
                <c:pt idx="26">
                  <c:v>31129.0966898251</c:v>
                </c:pt>
                <c:pt idx="27">
                  <c:v>32450.3876567233</c:v>
                </c:pt>
                <c:pt idx="28">
                  <c:v>33784.8915332906</c:v>
                </c:pt>
                <c:pt idx="29">
                  <c:v>35132.7404486235</c:v>
                </c:pt>
                <c:pt idx="30">
                  <c:v>36494.0678531097</c:v>
                </c:pt>
                <c:pt idx="31">
                  <c:v>37869.0085316408</c:v>
                </c:pt>
                <c:pt idx="32">
                  <c:v>39257.6986169572</c:v>
                </c:pt>
                <c:pt idx="33">
                  <c:v>40660.2756031268</c:v>
                </c:pt>
                <c:pt idx="34">
                  <c:v>42076.8783591581</c:v>
                </c:pt>
                <c:pt idx="35">
                  <c:v>43507.6471427496</c:v>
                </c:pt>
                <c:pt idx="36">
                  <c:v>44952.7236141771</c:v>
                </c:pt>
                <c:pt idx="37">
                  <c:v>46412.2508503189</c:v>
                </c:pt>
                <c:pt idx="38">
                  <c:v>47886.3733588221</c:v>
                </c:pt>
                <c:pt idx="39">
                  <c:v>49375.2370924103</c:v>
                </c:pt>
                <c:pt idx="40">
                  <c:v>50878.9894633344</c:v>
                </c:pt>
                <c:pt idx="41">
                  <c:v>52397.7793579678</c:v>
                </c:pt>
                <c:pt idx="42">
                  <c:v>53931.7571515475</c:v>
                </c:pt>
                <c:pt idx="43">
                  <c:v>55481.0747230629</c:v>
                </c:pt>
                <c:pt idx="44">
                  <c:v>57045.8854702936</c:v>
                </c:pt>
                <c:pt idx="45">
                  <c:v>58626.3443249965</c:v>
                </c:pt>
                <c:pt idx="46">
                  <c:v>60222.6077682465</c:v>
                </c:pt>
                <c:pt idx="47">
                  <c:v>61834.8338459289</c:v>
                </c:pt>
                <c:pt idx="48">
                  <c:v>63463.1821843882</c:v>
                </c:pt>
                <c:pt idx="49">
                  <c:v>65107.8140062321</c:v>
                </c:pt>
                <c:pt idx="50">
                  <c:v>66768.8921462944</c:v>
                </c:pt>
                <c:pt idx="51">
                  <c:v>68446.5810677574</c:v>
                </c:pt>
                <c:pt idx="52">
                  <c:v>70141.046878435</c:v>
                </c:pt>
                <c:pt idx="53">
                  <c:v>71852.4573472193</c:v>
                </c:pt>
                <c:pt idx="54">
                  <c:v>73580.9819206915</c:v>
                </c:pt>
                <c:pt idx="55">
                  <c:v>75326.7917398984</c:v>
                </c:pt>
                <c:pt idx="56">
                  <c:v>77090.0596572974</c:v>
                </c:pt>
                <c:pt idx="57">
                  <c:v>78870.9602538704</c:v>
                </c:pt>
                <c:pt idx="58">
                  <c:v>80669.6698564091</c:v>
                </c:pt>
                <c:pt idx="59">
                  <c:v>82486.3665549732</c:v>
                </c:pt>
                <c:pt idx="60">
                  <c:v>84321.2302205229</c:v>
                </c:pt>
                <c:pt idx="61">
                  <c:v>86174.4425227281</c:v>
                </c:pt>
                <c:pt idx="62">
                  <c:v>88046.1869479554</c:v>
                </c:pt>
                <c:pt idx="63">
                  <c:v>89936.648817435</c:v>
                </c:pt>
                <c:pt idx="64">
                  <c:v>91846.0153056093</c:v>
                </c:pt>
                <c:pt idx="65">
                  <c:v>93774.4754586654</c:v>
                </c:pt>
                <c:pt idx="66">
                  <c:v>95722.2202132521</c:v>
                </c:pt>
                <c:pt idx="67">
                  <c:v>97689.4424153846</c:v>
                </c:pt>
                <c:pt idx="68">
                  <c:v>99676.3368395384</c:v>
                </c:pt>
                <c:pt idx="69">
                  <c:v>101683.100207934</c:v>
                </c:pt>
                <c:pt idx="70">
                  <c:v>103709.931210013</c:v>
                </c:pt>
                <c:pt idx="71">
                  <c:v>105757.030522113</c:v>
                </c:pt>
                <c:pt idx="72">
                  <c:v>107824.600827334</c:v>
                </c:pt>
                <c:pt idx="73">
                  <c:v>109912.846835608</c:v>
                </c:pt>
                <c:pt idx="74">
                  <c:v>112021.975303964</c:v>
                </c:pt>
                <c:pt idx="75">
                  <c:v>114152.195057003</c:v>
                </c:pt>
                <c:pt idx="76">
                  <c:v>116303.717007574</c:v>
                </c:pt>
                <c:pt idx="77">
                  <c:v>118476.754177649</c:v>
                </c:pt>
                <c:pt idx="78">
                  <c:v>120671.521719426</c:v>
                </c:pt>
                <c:pt idx="79">
                  <c:v>122888.23693662</c:v>
                </c:pt>
                <c:pt idx="80">
                  <c:v>125127.119305986</c:v>
                </c:pt>
                <c:pt idx="81">
                  <c:v>127388.390499046</c:v>
                </c:pt>
                <c:pt idx="82">
                  <c:v>129672.274404037</c:v>
                </c:pt>
                <c:pt idx="83">
                  <c:v>131978.997148077</c:v>
                </c:pt>
                <c:pt idx="84">
                  <c:v>134308.787119558</c:v>
                </c:pt>
                <c:pt idx="85">
                  <c:v>136661.874990753</c:v>
                </c:pt>
                <c:pt idx="86">
                  <c:v>139038.493740661</c:v>
                </c:pt>
                <c:pt idx="87">
                  <c:v>141438.878678067</c:v>
                </c:pt>
                <c:pt idx="88">
                  <c:v>143863.267464848</c:v>
                </c:pt>
                <c:pt idx="89">
                  <c:v>146311.900139497</c:v>
                </c:pt>
                <c:pt idx="90">
                  <c:v>148785.019140891</c:v>
                </c:pt>
                <c:pt idx="91">
                  <c:v>151282.8693323</c:v>
                </c:pt>
                <c:pt idx="92">
                  <c:v>153805.698025623</c:v>
                </c:pt>
                <c:pt idx="93">
                  <c:v>156353.75500588</c:v>
                </c:pt>
                <c:pt idx="94">
                  <c:v>158927.292555938</c:v>
                </c:pt>
                <c:pt idx="95">
                  <c:v>161526.565481498</c:v>
                </c:pt>
                <c:pt idx="96">
                  <c:v>164151.831136313</c:v>
                </c:pt>
                <c:pt idx="97">
                  <c:v>166803.349447676</c:v>
                </c:pt>
                <c:pt idx="98">
                  <c:v>169481.382942153</c:v>
                </c:pt>
                <c:pt idx="99">
                  <c:v>172186.196771574</c:v>
                </c:pt>
                <c:pt idx="100">
                  <c:v>174918.05873929</c:v>
                </c:pt>
                <c:pt idx="101">
                  <c:v>177677.239326683</c:v>
                </c:pt>
                <c:pt idx="102">
                  <c:v>180464.01171995</c:v>
                </c:pt>
                <c:pt idx="103">
                  <c:v>183278.651837149</c:v>
                </c:pt>
                <c:pt idx="104">
                  <c:v>186121.438355521</c:v>
                </c:pt>
                <c:pt idx="105">
                  <c:v>188992.652739076</c:v>
                </c:pt>
                <c:pt idx="106">
                  <c:v>191892.579266467</c:v>
                </c:pt>
                <c:pt idx="107">
                  <c:v>194821.505059131</c:v>
                </c:pt>
                <c:pt idx="108">
                  <c:v>197779.720109723</c:v>
                </c:pt>
                <c:pt idx="109">
                  <c:v>200767.51731082</c:v>
                </c:pt>
                <c:pt idx="110">
                  <c:v>203785.192483928</c:v>
                </c:pt>
                <c:pt idx="111">
                  <c:v>206833.044408767</c:v>
                </c:pt>
                <c:pt idx="112">
                  <c:v>209911.374852855</c:v>
                </c:pt>
                <c:pt idx="113">
                  <c:v>213020.488601384</c:v>
                </c:pt>
                <c:pt idx="114">
                  <c:v>216160.693487397</c:v>
                </c:pt>
                <c:pt idx="115">
                  <c:v>219332.300422271</c:v>
                </c:pt>
                <c:pt idx="116">
                  <c:v>222535.623426494</c:v>
                </c:pt>
                <c:pt idx="117">
                  <c:v>225770.979660759</c:v>
                </c:pt>
                <c:pt idx="118">
                  <c:v>229038.689457367</c:v>
                </c:pt>
                <c:pt idx="119">
                  <c:v>232339.07635194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Calculation!K2</c:f>
              <c:strCache>
                <c:ptCount val="1"/>
                <c:pt idx="0">
                  <c:v>B: End Bal</c:v>
                </c:pt>
              </c:strCache>
            </c:strRef>
          </c:tx>
          <c:spPr>
            <a:solidFill>
              <a:srgbClr val="be4b48"/>
            </a:solidFill>
            <a:ln w="2016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Calculation!$A$3:$A$122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Calculation!$K$3:$K$122</c:f>
              <c:numCache>
                <c:formatCode>\$#,##0;"($"#,##0\);\-</c:formatCode>
                <c:ptCount val="120"/>
                <c:pt idx="0">
                  <c:v>1012.5</c:v>
                </c:pt>
                <c:pt idx="1">
                  <c:v>2037.65625</c:v>
                </c:pt>
                <c:pt idx="2">
                  <c:v>3075.626953125</c:v>
                </c:pt>
                <c:pt idx="3">
                  <c:v>4126.57229003906</c:v>
                </c:pt>
                <c:pt idx="4">
                  <c:v>5190.65444366455</c:v>
                </c:pt>
                <c:pt idx="5">
                  <c:v>6268.03762421036</c:v>
                </c:pt>
                <c:pt idx="6">
                  <c:v>7358.88809451299</c:v>
                </c:pt>
                <c:pt idx="7">
                  <c:v>8463.3741956944</c:v>
                </c:pt>
                <c:pt idx="8">
                  <c:v>9581.66637314058</c:v>
                </c:pt>
                <c:pt idx="9">
                  <c:v>10713.9372028048</c:v>
                </c:pt>
                <c:pt idx="10">
                  <c:v>11860.3614178399</c:v>
                </c:pt>
                <c:pt idx="11">
                  <c:v>13021.1159355629</c:v>
                </c:pt>
                <c:pt idx="12">
                  <c:v>14196.3798847574</c:v>
                </c:pt>
                <c:pt idx="13">
                  <c:v>15386.3346333169</c:v>
                </c:pt>
                <c:pt idx="14">
                  <c:v>16591.1638162334</c:v>
                </c:pt>
                <c:pt idx="15">
                  <c:v>17811.0533639363</c:v>
                </c:pt>
                <c:pt idx="16">
                  <c:v>19046.1915309855</c:v>
                </c:pt>
                <c:pt idx="17">
                  <c:v>20296.7689251228</c:v>
                </c:pt>
                <c:pt idx="18">
                  <c:v>21562.9785366868</c:v>
                </c:pt>
                <c:pt idx="19">
                  <c:v>22845.0157683954</c:v>
                </c:pt>
                <c:pt idx="20">
                  <c:v>24143.0784655004</c:v>
                </c:pt>
                <c:pt idx="21">
                  <c:v>25457.3669463191</c:v>
                </c:pt>
                <c:pt idx="22">
                  <c:v>26788.0840331481</c:v>
                </c:pt>
                <c:pt idx="23">
                  <c:v>28135.4350835625</c:v>
                </c:pt>
                <c:pt idx="24">
                  <c:v>29499.628022107</c:v>
                </c:pt>
                <c:pt idx="25">
                  <c:v>30880.8733723833</c:v>
                </c:pt>
                <c:pt idx="26">
                  <c:v>32279.3842895381</c:v>
                </c:pt>
                <c:pt idx="27">
                  <c:v>33695.3765931573</c:v>
                </c:pt>
                <c:pt idx="28">
                  <c:v>35129.0688005718</c:v>
                </c:pt>
                <c:pt idx="29">
                  <c:v>36580.682160579</c:v>
                </c:pt>
                <c:pt idx="30">
                  <c:v>38050.4406875862</c:v>
                </c:pt>
                <c:pt idx="31">
                  <c:v>39538.571196181</c:v>
                </c:pt>
                <c:pt idx="32">
                  <c:v>41045.3033361333</c:v>
                </c:pt>
                <c:pt idx="33">
                  <c:v>42570.8696278349</c:v>
                </c:pt>
                <c:pt idx="34">
                  <c:v>44115.5054981829</c:v>
                </c:pt>
                <c:pt idx="35">
                  <c:v>45679.4493169102</c:v>
                </c:pt>
                <c:pt idx="36">
                  <c:v>47262.9424333715</c:v>
                </c:pt>
                <c:pt idx="37">
                  <c:v>48866.2292137887</c:v>
                </c:pt>
                <c:pt idx="38">
                  <c:v>50489.557078961</c:v>
                </c:pt>
                <c:pt idx="39">
                  <c:v>52133.1765424481</c:v>
                </c:pt>
                <c:pt idx="40">
                  <c:v>53797.3412492287</c:v>
                </c:pt>
                <c:pt idx="41">
                  <c:v>55482.308014844</c:v>
                </c:pt>
                <c:pt idx="42">
                  <c:v>57188.3368650296</c:v>
                </c:pt>
                <c:pt idx="43">
                  <c:v>58915.6910758424</c:v>
                </c:pt>
                <c:pt idx="44">
                  <c:v>60664.6372142905</c:v>
                </c:pt>
                <c:pt idx="45">
                  <c:v>62435.4451794691</c:v>
                </c:pt>
                <c:pt idx="46">
                  <c:v>64228.3882442125</c:v>
                </c:pt>
                <c:pt idx="47">
                  <c:v>66043.7430972651</c:v>
                </c:pt>
                <c:pt idx="48">
                  <c:v>67881.7898859809</c:v>
                </c:pt>
                <c:pt idx="49">
                  <c:v>69742.8122595557</c:v>
                </c:pt>
                <c:pt idx="50">
                  <c:v>71627.0974128001</c:v>
                </c:pt>
                <c:pt idx="51">
                  <c:v>73534.9361304601</c:v>
                </c:pt>
                <c:pt idx="52">
                  <c:v>75466.6228320909</c:v>
                </c:pt>
                <c:pt idx="53">
                  <c:v>77422.455617492</c:v>
                </c:pt>
                <c:pt idx="54">
                  <c:v>79402.7363127107</c:v>
                </c:pt>
                <c:pt idx="55">
                  <c:v>81407.7705166196</c:v>
                </c:pt>
                <c:pt idx="56">
                  <c:v>83437.8676480773</c:v>
                </c:pt>
                <c:pt idx="57">
                  <c:v>85493.3409936783</c:v>
                </c:pt>
                <c:pt idx="58">
                  <c:v>87574.5077560993</c:v>
                </c:pt>
                <c:pt idx="59">
                  <c:v>89681.6891030505</c:v>
                </c:pt>
                <c:pt idx="60">
                  <c:v>91815.2102168387</c:v>
                </c:pt>
                <c:pt idx="61">
                  <c:v>93975.4003445491</c:v>
                </c:pt>
                <c:pt idx="62">
                  <c:v>96162.592848856</c:v>
                </c:pt>
                <c:pt idx="63">
                  <c:v>98377.1252594667</c:v>
                </c:pt>
                <c:pt idx="64">
                  <c:v>100619.33932521</c:v>
                </c:pt>
                <c:pt idx="65">
                  <c:v>102889.581066775</c:v>
                </c:pt>
                <c:pt idx="66">
                  <c:v>105188.20083011</c:v>
                </c:pt>
                <c:pt idx="67">
                  <c:v>107515.553340486</c:v>
                </c:pt>
                <c:pt idx="68">
                  <c:v>109871.997757242</c:v>
                </c:pt>
                <c:pt idx="69">
                  <c:v>112257.897729208</c:v>
                </c:pt>
                <c:pt idx="70">
                  <c:v>114673.621450823</c:v>
                </c:pt>
                <c:pt idx="71">
                  <c:v>117119.541718958</c:v>
                </c:pt>
                <c:pt idx="72">
                  <c:v>119596.035990445</c:v>
                </c:pt>
                <c:pt idx="73">
                  <c:v>122103.486440326</c:v>
                </c:pt>
                <c:pt idx="74">
                  <c:v>124642.28002083</c:v>
                </c:pt>
                <c:pt idx="75">
                  <c:v>127212.80852109</c:v>
                </c:pt>
                <c:pt idx="76">
                  <c:v>129815.468627604</c:v>
                </c:pt>
                <c:pt idx="77">
                  <c:v>132450.661985449</c:v>
                </c:pt>
                <c:pt idx="78">
                  <c:v>135118.795260267</c:v>
                </c:pt>
                <c:pt idx="79">
                  <c:v>137820.28020102</c:v>
                </c:pt>
                <c:pt idx="80">
                  <c:v>140555.533703533</c:v>
                </c:pt>
                <c:pt idx="81">
                  <c:v>143324.977874827</c:v>
                </c:pt>
                <c:pt idx="82">
                  <c:v>146129.040098263</c:v>
                </c:pt>
                <c:pt idx="83">
                  <c:v>148968.153099491</c:v>
                </c:pt>
                <c:pt idx="84">
                  <c:v>151842.755013234</c:v>
                </c:pt>
                <c:pt idx="85">
                  <c:v>154753.2894509</c:v>
                </c:pt>
                <c:pt idx="86">
                  <c:v>157700.205569036</c:v>
                </c:pt>
                <c:pt idx="87">
                  <c:v>160683.958138649</c:v>
                </c:pt>
                <c:pt idx="88">
                  <c:v>163705.007615382</c:v>
                </c:pt>
                <c:pt idx="89">
                  <c:v>166763.820210575</c:v>
                </c:pt>
                <c:pt idx="90">
                  <c:v>169860.867963207</c:v>
                </c:pt>
                <c:pt idx="91">
                  <c:v>172996.628812747</c:v>
                </c:pt>
                <c:pt idx="92">
                  <c:v>176171.586672906</c:v>
                </c:pt>
                <c:pt idx="93">
                  <c:v>179386.231506317</c:v>
                </c:pt>
                <c:pt idx="94">
                  <c:v>182641.059400146</c:v>
                </c:pt>
                <c:pt idx="95">
                  <c:v>185936.572642648</c:v>
                </c:pt>
                <c:pt idx="96">
                  <c:v>189273.279800681</c:v>
                </c:pt>
                <c:pt idx="97">
                  <c:v>192651.69579819</c:v>
                </c:pt>
                <c:pt idx="98">
                  <c:v>196072.341995667</c:v>
                </c:pt>
                <c:pt idx="99">
                  <c:v>199535.746270613</c:v>
                </c:pt>
                <c:pt idx="100">
                  <c:v>203042.443098996</c:v>
                </c:pt>
                <c:pt idx="101">
                  <c:v>206592.973637733</c:v>
                </c:pt>
                <c:pt idx="102">
                  <c:v>210187.885808205</c:v>
                </c:pt>
                <c:pt idx="103">
                  <c:v>213827.734380807</c:v>
                </c:pt>
                <c:pt idx="104">
                  <c:v>217513.081060567</c:v>
                </c:pt>
                <c:pt idx="105">
                  <c:v>221244.494573825</c:v>
                </c:pt>
                <c:pt idx="106">
                  <c:v>225022.550755997</c:v>
                </c:pt>
                <c:pt idx="107">
                  <c:v>228847.832640447</c:v>
                </c:pt>
                <c:pt idx="108">
                  <c:v>232720.930548453</c:v>
                </c:pt>
                <c:pt idx="109">
                  <c:v>236642.442180309</c:v>
                </c:pt>
                <c:pt idx="110">
                  <c:v>240612.972707562</c:v>
                </c:pt>
                <c:pt idx="111">
                  <c:v>244633.134866407</c:v>
                </c:pt>
                <c:pt idx="112">
                  <c:v>248703.549052237</c:v>
                </c:pt>
                <c:pt idx="113">
                  <c:v>252824.84341539</c:v>
                </c:pt>
                <c:pt idx="114">
                  <c:v>256997.653958082</c:v>
                </c:pt>
                <c:pt idx="115">
                  <c:v>261222.624632558</c:v>
                </c:pt>
                <c:pt idx="116">
                  <c:v>265500.407440465</c:v>
                </c:pt>
                <c:pt idx="117">
                  <c:v>269831.662533471</c:v>
                </c:pt>
                <c:pt idx="118">
                  <c:v>274217.05831514</c:v>
                </c:pt>
                <c:pt idx="119">
                  <c:v>278657.271544079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Calculation!P2</c:f>
              <c:strCache>
                <c:ptCount val="1"/>
                <c:pt idx="0">
                  <c:v>C: End Bal (portfolio)</c:v>
                </c:pt>
              </c:strCache>
            </c:strRef>
          </c:tx>
          <c:spPr>
            <a:solidFill>
              <a:srgbClr val="98b855"/>
            </a:solidFill>
            <a:ln w="2016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Calculation!$A$3:$A$122</c:f>
              <c:strCache>
                <c:ptCount val="12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</c:strCache>
            </c:strRef>
          </c:cat>
          <c:val>
            <c:numRef>
              <c:f>Calculation!$P$3:$P$122</c:f>
              <c:numCache>
                <c:formatCode>\$#,##0;"($"#,##0\);\-</c:formatCode>
                <c:ptCount val="120"/>
                <c:pt idx="0">
                  <c:v>1010</c:v>
                </c:pt>
                <c:pt idx="1">
                  <c:v>2030.1</c:v>
                </c:pt>
                <c:pt idx="2">
                  <c:v>3060.401</c:v>
                </c:pt>
                <c:pt idx="3">
                  <c:v>4101.00501</c:v>
                </c:pt>
                <c:pt idx="4">
                  <c:v>5152.0150601</c:v>
                </c:pt>
                <c:pt idx="5">
                  <c:v>6213.535210701</c:v>
                </c:pt>
                <c:pt idx="6">
                  <c:v>7285.67056280801</c:v>
                </c:pt>
                <c:pt idx="7">
                  <c:v>8368.52726843609</c:v>
                </c:pt>
                <c:pt idx="8">
                  <c:v>9462.21254112045</c:v>
                </c:pt>
                <c:pt idx="9">
                  <c:v>10566.8346665317</c:v>
                </c:pt>
                <c:pt idx="10">
                  <c:v>11682.503013197</c:v>
                </c:pt>
                <c:pt idx="11">
                  <c:v>12809.3280433289</c:v>
                </c:pt>
                <c:pt idx="12">
                  <c:v>13947.4213237622</c:v>
                </c:pt>
                <c:pt idx="13">
                  <c:v>15096.8955369999</c:v>
                </c:pt>
                <c:pt idx="14">
                  <c:v>16257.8644923699</c:v>
                </c:pt>
                <c:pt idx="15">
                  <c:v>17430.4431372936</c:v>
                </c:pt>
                <c:pt idx="16">
                  <c:v>18614.7475686665</c:v>
                </c:pt>
                <c:pt idx="17">
                  <c:v>19810.8950443532</c:v>
                </c:pt>
                <c:pt idx="18">
                  <c:v>21019.0039947967</c:v>
                </c:pt>
                <c:pt idx="19">
                  <c:v>22239.1940347447</c:v>
                </c:pt>
                <c:pt idx="20">
                  <c:v>23471.5859750921</c:v>
                </c:pt>
                <c:pt idx="21">
                  <c:v>24716.301834843</c:v>
                </c:pt>
                <c:pt idx="22">
                  <c:v>25973.4648531915</c:v>
                </c:pt>
                <c:pt idx="23">
                  <c:v>27243.1995017234</c:v>
                </c:pt>
                <c:pt idx="24">
                  <c:v>28525.6314967406</c:v>
                </c:pt>
                <c:pt idx="25">
                  <c:v>29820.887811708</c:v>
                </c:pt>
                <c:pt idx="26">
                  <c:v>31129.0966898251</c:v>
                </c:pt>
                <c:pt idx="27">
                  <c:v>32450.3876567233</c:v>
                </c:pt>
                <c:pt idx="28">
                  <c:v>33784.8915332906</c:v>
                </c:pt>
                <c:pt idx="29">
                  <c:v>35132.7404486235</c:v>
                </c:pt>
                <c:pt idx="30">
                  <c:v>36494.0678531097</c:v>
                </c:pt>
                <c:pt idx="31">
                  <c:v>37869.0085316408</c:v>
                </c:pt>
                <c:pt idx="32">
                  <c:v>39257.6986169572</c:v>
                </c:pt>
                <c:pt idx="33">
                  <c:v>40660.2756031268</c:v>
                </c:pt>
                <c:pt idx="34">
                  <c:v>42076.8783591581</c:v>
                </c:pt>
                <c:pt idx="35">
                  <c:v>43507.6471427496</c:v>
                </c:pt>
                <c:pt idx="36">
                  <c:v>44952.7236141771</c:v>
                </c:pt>
                <c:pt idx="37">
                  <c:v>46412.2508503189</c:v>
                </c:pt>
                <c:pt idx="38">
                  <c:v>47886.3733588221</c:v>
                </c:pt>
                <c:pt idx="39">
                  <c:v>49375.2370924103</c:v>
                </c:pt>
                <c:pt idx="40">
                  <c:v>50878.9894633344</c:v>
                </c:pt>
                <c:pt idx="41">
                  <c:v>52397.7793579678</c:v>
                </c:pt>
                <c:pt idx="42">
                  <c:v>53931.7571515475</c:v>
                </c:pt>
                <c:pt idx="43">
                  <c:v>55481.0747230629</c:v>
                </c:pt>
                <c:pt idx="44">
                  <c:v>57045.8854702936</c:v>
                </c:pt>
                <c:pt idx="45">
                  <c:v>58626.3443249965</c:v>
                </c:pt>
                <c:pt idx="46">
                  <c:v>60222.6077682465</c:v>
                </c:pt>
                <c:pt idx="47">
                  <c:v>61834.8338459289</c:v>
                </c:pt>
                <c:pt idx="48">
                  <c:v>63463.1821843882</c:v>
                </c:pt>
                <c:pt idx="49">
                  <c:v>65107.8140062321</c:v>
                </c:pt>
                <c:pt idx="50">
                  <c:v>66768.8921462944</c:v>
                </c:pt>
                <c:pt idx="51">
                  <c:v>68446.5810677574</c:v>
                </c:pt>
                <c:pt idx="52">
                  <c:v>70141.046878435</c:v>
                </c:pt>
                <c:pt idx="53">
                  <c:v>71852.4573472193</c:v>
                </c:pt>
                <c:pt idx="54">
                  <c:v>73580.9819206915</c:v>
                </c:pt>
                <c:pt idx="55">
                  <c:v>75326.7917398984</c:v>
                </c:pt>
                <c:pt idx="56">
                  <c:v>77090.0596572974</c:v>
                </c:pt>
                <c:pt idx="57">
                  <c:v>78870.9602538704</c:v>
                </c:pt>
                <c:pt idx="58">
                  <c:v>80669.6698564091</c:v>
                </c:pt>
                <c:pt idx="59">
                  <c:v>82486.3665549732</c:v>
                </c:pt>
                <c:pt idx="60">
                  <c:v>84321.2302205229</c:v>
                </c:pt>
                <c:pt idx="61">
                  <c:v>86174.4425227281</c:v>
                </c:pt>
                <c:pt idx="62">
                  <c:v>88046.1869479554</c:v>
                </c:pt>
                <c:pt idx="63">
                  <c:v>89936.648817435</c:v>
                </c:pt>
                <c:pt idx="64">
                  <c:v>91846.0153056093</c:v>
                </c:pt>
                <c:pt idx="65">
                  <c:v>93774.4754586654</c:v>
                </c:pt>
                <c:pt idx="66">
                  <c:v>95722.2202132521</c:v>
                </c:pt>
                <c:pt idx="67">
                  <c:v>97689.4424153846</c:v>
                </c:pt>
                <c:pt idx="68">
                  <c:v>99676.3368395384</c:v>
                </c:pt>
                <c:pt idx="69">
                  <c:v>101683.100207934</c:v>
                </c:pt>
                <c:pt idx="70">
                  <c:v>103709.931210013</c:v>
                </c:pt>
                <c:pt idx="71">
                  <c:v>105757.030522113</c:v>
                </c:pt>
                <c:pt idx="72">
                  <c:v>107824.600827334</c:v>
                </c:pt>
                <c:pt idx="73">
                  <c:v>109912.846835608</c:v>
                </c:pt>
                <c:pt idx="74">
                  <c:v>112021.975303964</c:v>
                </c:pt>
                <c:pt idx="75">
                  <c:v>114152.195057003</c:v>
                </c:pt>
                <c:pt idx="76">
                  <c:v>116303.717007574</c:v>
                </c:pt>
                <c:pt idx="77">
                  <c:v>118476.754177649</c:v>
                </c:pt>
                <c:pt idx="78">
                  <c:v>120671.521719426</c:v>
                </c:pt>
                <c:pt idx="79">
                  <c:v>122888.23693662</c:v>
                </c:pt>
                <c:pt idx="80">
                  <c:v>125127.119305986</c:v>
                </c:pt>
                <c:pt idx="81">
                  <c:v>127388.390499046</c:v>
                </c:pt>
                <c:pt idx="82">
                  <c:v>129672.274404037</c:v>
                </c:pt>
                <c:pt idx="83">
                  <c:v>131978.997148077</c:v>
                </c:pt>
                <c:pt idx="84">
                  <c:v>134308.787119558</c:v>
                </c:pt>
                <c:pt idx="85">
                  <c:v>136661.874990753</c:v>
                </c:pt>
                <c:pt idx="86">
                  <c:v>139038.493740661</c:v>
                </c:pt>
                <c:pt idx="87">
                  <c:v>141438.878678067</c:v>
                </c:pt>
                <c:pt idx="88">
                  <c:v>143863.267464848</c:v>
                </c:pt>
                <c:pt idx="89">
                  <c:v>146311.900139497</c:v>
                </c:pt>
                <c:pt idx="90">
                  <c:v>148785.019140891</c:v>
                </c:pt>
                <c:pt idx="91">
                  <c:v>151282.8693323</c:v>
                </c:pt>
                <c:pt idx="92">
                  <c:v>153805.698025623</c:v>
                </c:pt>
                <c:pt idx="93">
                  <c:v>156353.75500588</c:v>
                </c:pt>
                <c:pt idx="94">
                  <c:v>158927.292555938</c:v>
                </c:pt>
                <c:pt idx="95">
                  <c:v>161526.565481498</c:v>
                </c:pt>
                <c:pt idx="96">
                  <c:v>164151.831136313</c:v>
                </c:pt>
                <c:pt idx="97">
                  <c:v>166803.349447676</c:v>
                </c:pt>
                <c:pt idx="98">
                  <c:v>169481.382942153</c:v>
                </c:pt>
                <c:pt idx="99">
                  <c:v>172186.196771574</c:v>
                </c:pt>
                <c:pt idx="100">
                  <c:v>174918.05873929</c:v>
                </c:pt>
                <c:pt idx="101">
                  <c:v>177677.239326683</c:v>
                </c:pt>
                <c:pt idx="102">
                  <c:v>180464.01171995</c:v>
                </c:pt>
                <c:pt idx="103">
                  <c:v>183278.651837149</c:v>
                </c:pt>
                <c:pt idx="104">
                  <c:v>186121.438355521</c:v>
                </c:pt>
                <c:pt idx="105">
                  <c:v>188992.652739076</c:v>
                </c:pt>
                <c:pt idx="106">
                  <c:v>191892.579266467</c:v>
                </c:pt>
                <c:pt idx="107">
                  <c:v>194821.505059131</c:v>
                </c:pt>
                <c:pt idx="108">
                  <c:v>197779.720109723</c:v>
                </c:pt>
                <c:pt idx="109">
                  <c:v>200767.51731082</c:v>
                </c:pt>
                <c:pt idx="110">
                  <c:v>203785.192483928</c:v>
                </c:pt>
                <c:pt idx="111">
                  <c:v>206833.044408767</c:v>
                </c:pt>
                <c:pt idx="112">
                  <c:v>209911.374852855</c:v>
                </c:pt>
                <c:pt idx="113">
                  <c:v>213020.488601384</c:v>
                </c:pt>
                <c:pt idx="114">
                  <c:v>216160.693487397</c:v>
                </c:pt>
                <c:pt idx="115">
                  <c:v>219332.300422271</c:v>
                </c:pt>
                <c:pt idx="116">
                  <c:v>222535.623426494</c:v>
                </c:pt>
                <c:pt idx="117">
                  <c:v>225770.979660759</c:v>
                </c:pt>
                <c:pt idx="118">
                  <c:v>229038.689457367</c:v>
                </c:pt>
                <c:pt idx="119">
                  <c:v>232339.07635194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7751752"/>
        <c:axId val="77128414"/>
      </c:lineChart>
      <c:catAx>
        <c:axId val="177517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128414"/>
        <c:crosses val="autoZero"/>
        <c:auto val="1"/>
        <c:lblAlgn val="ctr"/>
        <c:lblOffset val="100"/>
        <c:noMultiLvlLbl val="0"/>
      </c:catAx>
      <c:valAx>
        <c:axId val="771284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51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Ending Value at Horizon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Summary!D5</c:f>
              <c:strCache>
                <c:ptCount val="1"/>
                <c:pt idx="0">
                  <c:v>Ending Value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Summary!$B$6:$B$8</c:f>
              <c:strCache>
                <c:ptCount val="3"/>
                <c:pt idx="0">
                  <c:v>A: No-Dividend Fund</c:v>
                </c:pt>
                <c:pt idx="1">
                  <c:v>B: Dividend Reinvested</c:v>
                </c:pt>
                <c:pt idx="2">
                  <c:v>C: Dividend Paid as Cash (portfolio + cash)</c:v>
                </c:pt>
              </c:strCache>
            </c:strRef>
          </c:cat>
          <c:val>
            <c:numRef>
              <c:f>Summary!$D$6:$D$8</c:f>
              <c:numCache>
                <c:formatCode>\$#,##0;"($"#,##0\);\-</c:formatCode>
                <c:ptCount val="3"/>
                <c:pt idx="0">
                  <c:v>12809.3280433289</c:v>
                </c:pt>
                <c:pt idx="1">
                  <c:v>13021.1159355629</c:v>
                </c:pt>
                <c:pt idx="2">
                  <c:v>13011.6600541612</c:v>
                </c:pt>
              </c:numCache>
            </c:numRef>
          </c:val>
        </c:ser>
        <c:gapWidth val="150"/>
        <c:overlap val="0"/>
        <c:axId val="12835078"/>
        <c:axId val="85382004"/>
      </c:barChart>
      <c:catAx>
        <c:axId val="12835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382004"/>
        <c:crosses val="autoZero"/>
        <c:auto val="1"/>
        <c:lblAlgn val="ctr"/>
        <c:lblOffset val="100"/>
        <c:noMultiLvlLbl val="0"/>
      </c:catAx>
      <c:valAx>
        <c:axId val="853820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Balance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8350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</xdr:row>
      <xdr:rowOff>160560</xdr:rowOff>
    </xdr:from>
    <xdr:to>
      <xdr:col>7</xdr:col>
      <xdr:colOff>400320</xdr:colOff>
      <xdr:row>27</xdr:row>
      <xdr:rowOff>162000</xdr:rowOff>
    </xdr:to>
    <xdr:graphicFrame>
      <xdr:nvGraphicFramePr>
        <xdr:cNvPr id="0" name="Chart 1"/>
        <xdr:cNvGraphicFramePr/>
      </xdr:nvGraphicFramePr>
      <xdr:xfrm>
        <a:off x="211320" y="209556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0</xdr:colOff>
      <xdr:row>10</xdr:row>
      <xdr:rowOff>160560</xdr:rowOff>
    </xdr:from>
    <xdr:to>
      <xdr:col>23</xdr:col>
      <xdr:colOff>147600</xdr:colOff>
      <xdr:row>27</xdr:row>
      <xdr:rowOff>162000</xdr:rowOff>
    </xdr:to>
    <xdr:graphicFrame>
      <xdr:nvGraphicFramePr>
        <xdr:cNvPr id="1" name="Chart 2"/>
        <xdr:cNvGraphicFramePr/>
      </xdr:nvGraphicFramePr>
      <xdr:xfrm>
        <a:off x="12622680" y="209556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3" min="3" style="0" width="16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</row>
    <row r="3" customFormat="false" ht="15" hidden="false" customHeight="false" outlineLevel="0" collapsed="false">
      <c r="B3" s="2" t="s">
        <v>1</v>
      </c>
      <c r="C3" s="2"/>
      <c r="D3" s="2"/>
      <c r="E3" s="2"/>
    </row>
    <row r="5" customFormat="false" ht="15" hidden="false" customHeight="false" outlineLevel="0" collapsed="false">
      <c r="B5" s="3" t="s">
        <v>2</v>
      </c>
      <c r="C5" s="4" t="n">
        <v>0</v>
      </c>
    </row>
    <row r="6" customFormat="false" ht="15" hidden="false" customHeight="false" outlineLevel="0" collapsed="false">
      <c r="B6" s="3" t="s">
        <v>3</v>
      </c>
      <c r="C6" s="4" t="n">
        <v>1000</v>
      </c>
    </row>
    <row r="7" customFormat="false" ht="15" hidden="false" customHeight="false" outlineLevel="0" collapsed="false">
      <c r="B7" s="3" t="s">
        <v>4</v>
      </c>
      <c r="C7" s="5" t="n">
        <v>0.01</v>
      </c>
    </row>
    <row r="8" customFormat="false" ht="15" hidden="false" customHeight="false" outlineLevel="0" collapsed="false">
      <c r="B8" s="3" t="s">
        <v>5</v>
      </c>
      <c r="C8" s="5" t="n">
        <v>0.03</v>
      </c>
    </row>
    <row r="9" customFormat="false" ht="15" hidden="false" customHeight="false" outlineLevel="0" collapsed="false">
      <c r="B9" s="3" t="s">
        <v>6</v>
      </c>
      <c r="C9" s="6" t="n">
        <v>12</v>
      </c>
    </row>
    <row r="16" customFormat="false" ht="15" hidden="false" customHeight="false" outlineLevel="0" collapsed="false">
      <c r="B16" s="7" t="s">
        <v>7</v>
      </c>
      <c r="C16" s="7"/>
      <c r="D16" s="7"/>
      <c r="E16" s="7"/>
    </row>
    <row r="17" customFormat="false" ht="15" hidden="false" customHeight="false" outlineLevel="0" collapsed="false">
      <c r="B17" s="8" t="s">
        <v>8</v>
      </c>
      <c r="C17" s="8"/>
      <c r="D17" s="8"/>
      <c r="E17" s="8"/>
    </row>
    <row r="18" customFormat="false" ht="15" hidden="false" customHeight="false" outlineLevel="0" collapsed="false">
      <c r="B18" s="8" t="s">
        <v>9</v>
      </c>
      <c r="C18" s="8"/>
      <c r="D18" s="8"/>
      <c r="E18" s="8"/>
    </row>
    <row r="19" customFormat="false" ht="15" hidden="false" customHeight="false" outlineLevel="0" collapsed="false">
      <c r="B19" s="8" t="s">
        <v>10</v>
      </c>
      <c r="C19" s="8"/>
      <c r="D19" s="8"/>
      <c r="E19" s="8"/>
    </row>
    <row r="20" customFormat="false" ht="15" hidden="false" customHeight="false" outlineLevel="0" collapsed="false">
      <c r="B20" s="8" t="s">
        <v>11</v>
      </c>
      <c r="C20" s="8"/>
      <c r="D20" s="8"/>
      <c r="E20" s="8"/>
    </row>
    <row r="21" customFormat="false" ht="15" hidden="false" customHeight="false" outlineLevel="0" collapsed="false">
      <c r="B21" s="8" t="s">
        <v>12</v>
      </c>
      <c r="C21" s="8"/>
      <c r="D21" s="8"/>
      <c r="E21" s="8"/>
    </row>
    <row r="22" customFormat="false" ht="15" hidden="false" customHeight="false" outlineLevel="0" collapsed="false">
      <c r="B22" s="8" t="s">
        <v>13</v>
      </c>
      <c r="C22" s="8"/>
      <c r="D22" s="8"/>
      <c r="E22" s="8"/>
    </row>
  </sheetData>
  <mergeCells count="9">
    <mergeCell ref="B2:E2"/>
    <mergeCell ref="B3:E3"/>
    <mergeCell ref="B16:E16"/>
    <mergeCell ref="B17:E17"/>
    <mergeCell ref="B18:E18"/>
    <mergeCell ref="B19:E19"/>
    <mergeCell ref="B20:E20"/>
    <mergeCell ref="B21:E21"/>
    <mergeCell ref="B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6" min="3" style="0" width="16"/>
  </cols>
  <sheetData>
    <row r="2" customFormat="false" ht="17.35" hidden="false" customHeight="false" outlineLevel="0" collapsed="false">
      <c r="B2" s="1" t="s">
        <v>14</v>
      </c>
      <c r="C2" s="1"/>
      <c r="D2" s="1"/>
      <c r="E2" s="1"/>
    </row>
    <row r="3" customFormat="false" ht="15" hidden="false" customHeight="false" outlineLevel="0" collapsed="false">
      <c r="B3" s="9" t="s">
        <v>15</v>
      </c>
      <c r="C3" s="10" t="n">
        <f aca="false">Inputs!C9</f>
        <v>12</v>
      </c>
    </row>
    <row r="5" customFormat="false" ht="15" hidden="false" customHeight="false" outlineLevel="0" collapsed="false">
      <c r="B5" s="11" t="s">
        <v>16</v>
      </c>
      <c r="C5" s="11" t="s">
        <v>17</v>
      </c>
      <c r="D5" s="11" t="s">
        <v>18</v>
      </c>
      <c r="E5" s="11" t="s">
        <v>19</v>
      </c>
      <c r="F5" s="11" t="s">
        <v>20</v>
      </c>
    </row>
    <row r="6" customFormat="false" ht="15" hidden="false" customHeight="false" outlineLevel="0" collapsed="false">
      <c r="B6" s="12" t="s">
        <v>21</v>
      </c>
      <c r="C6" s="13" t="n">
        <f aca="false">INDEX(Calculation!$R$3:$R$122,MATCH(Inputs!$C$9,Calculation!$A$3:$A$122,0))</f>
        <v>12000</v>
      </c>
      <c r="D6" s="13" t="n">
        <f aca="false">INDEX(Calculation!$F$3:$F$122,MATCH(Inputs!$C$9,Calculation!$A$3:$A$122,0))</f>
        <v>12809.3280433289</v>
      </c>
      <c r="E6" s="13" t="n">
        <f aca="false">D6-C6</f>
        <v>809.32804332894</v>
      </c>
      <c r="F6" s="14" t="n">
        <f aca="false">IFERROR(D6/C6,0)</f>
        <v>1.06744400361075</v>
      </c>
    </row>
    <row r="7" customFormat="false" ht="15" hidden="false" customHeight="false" outlineLevel="0" collapsed="false">
      <c r="B7" s="12" t="s">
        <v>22</v>
      </c>
      <c r="C7" s="13" t="n">
        <f aca="false">INDEX(Calculation!$R$3:$R$122,MATCH(Inputs!$C$9,Calculation!$A$3:$A$122,0))</f>
        <v>12000</v>
      </c>
      <c r="D7" s="13" t="n">
        <f aca="false">INDEX(Calculation!$K$3:$K$122,MATCH(Inputs!$C$9,Calculation!$A$3:$A$122,0))</f>
        <v>13021.1159355629</v>
      </c>
      <c r="E7" s="13" t="n">
        <f aca="false">D7-C7</f>
        <v>1021.1159355629</v>
      </c>
      <c r="F7" s="14" t="n">
        <f aca="false">IFERROR(D7/C7,0)</f>
        <v>1.08509299463024</v>
      </c>
    </row>
    <row r="8" customFormat="false" ht="15" hidden="false" customHeight="false" outlineLevel="0" collapsed="false">
      <c r="B8" s="12" t="s">
        <v>23</v>
      </c>
      <c r="C8" s="13" t="n">
        <f aca="false">INDEX(Calculation!$R$3:$R$122,MATCH(Inputs!$C$9,Calculation!$A$3:$A$122,0))</f>
        <v>12000</v>
      </c>
      <c r="D8" s="13" t="n">
        <f aca="false">INDEX(Calculation!$P$3:$P$122,MATCH(Inputs!$C$9,Calculation!$A$3:$A$122,0))+INDEX(Calculation!$Q$3:$Q$122,MATCH(Inputs!$C$9,Calculation!$A$3:$A$122,0))</f>
        <v>13011.6600541612</v>
      </c>
      <c r="E8" s="13" t="n">
        <f aca="false">D8-C8</f>
        <v>1011.66005416118</v>
      </c>
      <c r="F8" s="14" t="n">
        <f aca="false">IFERROR(D8/C8,0)</f>
        <v>1.08430500451343</v>
      </c>
    </row>
    <row r="9" customFormat="false" ht="15" hidden="false" customHeight="false" outlineLevel="0" collapsed="false">
      <c r="B9" s="15" t="s">
        <v>24</v>
      </c>
      <c r="C9" s="15"/>
      <c r="D9" s="15"/>
      <c r="E9" s="15"/>
      <c r="F9" s="15"/>
    </row>
  </sheetData>
  <mergeCells count="2">
    <mergeCell ref="B2:E2"/>
    <mergeCell ref="B9:F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18" min="3" style="0" width="13"/>
  </cols>
  <sheetData>
    <row r="1" customFormat="false" ht="15" hidden="false" customHeight="false" outlineLevel="0" collapsed="false">
      <c r="C1" s="16" t="s">
        <v>25</v>
      </c>
      <c r="D1" s="16"/>
      <c r="E1" s="16"/>
      <c r="F1" s="16"/>
      <c r="G1" s="16" t="s">
        <v>26</v>
      </c>
      <c r="H1" s="16"/>
      <c r="I1" s="16"/>
      <c r="J1" s="16"/>
      <c r="K1" s="16"/>
      <c r="L1" s="16" t="s">
        <v>27</v>
      </c>
      <c r="M1" s="16"/>
      <c r="N1" s="16"/>
      <c r="O1" s="16"/>
      <c r="P1" s="16"/>
      <c r="Q1" s="16"/>
    </row>
    <row r="2" customFormat="false" ht="26.85" hidden="false" customHeight="false" outlineLevel="0" collapsed="false">
      <c r="A2" s="17" t="s">
        <v>28</v>
      </c>
      <c r="B2" s="17" t="s">
        <v>29</v>
      </c>
      <c r="C2" s="17" t="s">
        <v>30</v>
      </c>
      <c r="D2" s="17" t="s">
        <v>31</v>
      </c>
      <c r="E2" s="17" t="s">
        <v>32</v>
      </c>
      <c r="F2" s="17" t="s">
        <v>33</v>
      </c>
      <c r="G2" s="17" t="s">
        <v>34</v>
      </c>
      <c r="H2" s="17" t="s">
        <v>35</v>
      </c>
      <c r="I2" s="17" t="s">
        <v>36</v>
      </c>
      <c r="J2" s="17" t="s">
        <v>37</v>
      </c>
      <c r="K2" s="17" t="s">
        <v>38</v>
      </c>
      <c r="L2" s="17" t="s">
        <v>39</v>
      </c>
      <c r="M2" s="17" t="s">
        <v>40</v>
      </c>
      <c r="N2" s="17" t="s">
        <v>41</v>
      </c>
      <c r="O2" s="17" t="s">
        <v>42</v>
      </c>
      <c r="P2" s="17" t="s">
        <v>43</v>
      </c>
      <c r="Q2" s="17" t="s">
        <v>44</v>
      </c>
      <c r="R2" s="17" t="s">
        <v>45</v>
      </c>
    </row>
    <row r="3" customFormat="false" ht="15" hidden="false" customHeight="false" outlineLevel="0" collapsed="false">
      <c r="A3" s="18" t="n">
        <v>1</v>
      </c>
      <c r="B3" s="13" t="n">
        <f aca="false">Inputs!$C$6</f>
        <v>1000</v>
      </c>
      <c r="C3" s="13" t="n">
        <f aca="false">Inputs!$C$5</f>
        <v>0</v>
      </c>
      <c r="D3" s="13" t="n">
        <f aca="false">C3+B3</f>
        <v>1000</v>
      </c>
      <c r="E3" s="13" t="n">
        <f aca="false">D3*Inputs!$C$7</f>
        <v>10</v>
      </c>
      <c r="F3" s="13" t="n">
        <f aca="false">D3+E3</f>
        <v>1010</v>
      </c>
      <c r="G3" s="13" t="n">
        <f aca="false">Inputs!$C$5</f>
        <v>0</v>
      </c>
      <c r="H3" s="13" t="n">
        <f aca="false">G3+B3</f>
        <v>1000</v>
      </c>
      <c r="I3" s="13" t="n">
        <f aca="false">H3*Inputs!$C$7</f>
        <v>10</v>
      </c>
      <c r="J3" s="13" t="n">
        <f aca="false">H3*(Inputs!$C$8/12)</f>
        <v>2.5</v>
      </c>
      <c r="K3" s="13" t="n">
        <f aca="false">H3+I3+J3</f>
        <v>1012.5</v>
      </c>
      <c r="L3" s="13" t="n">
        <f aca="false">Inputs!$C$5</f>
        <v>0</v>
      </c>
      <c r="M3" s="13" t="n">
        <f aca="false">L3+B3</f>
        <v>1000</v>
      </c>
      <c r="N3" s="13" t="n">
        <f aca="false">M3*Inputs!$C$7</f>
        <v>10</v>
      </c>
      <c r="O3" s="13" t="n">
        <f aca="false">M3*(Inputs!$C$8/12)</f>
        <v>2.5</v>
      </c>
      <c r="P3" s="13" t="n">
        <f aca="false">M3+N3</f>
        <v>1010</v>
      </c>
      <c r="Q3" s="13" t="n">
        <f aca="false">O3</f>
        <v>2.5</v>
      </c>
      <c r="R3" s="13" t="n">
        <f aca="false">B3</f>
        <v>1000</v>
      </c>
    </row>
    <row r="4" customFormat="false" ht="15" hidden="false" customHeight="false" outlineLevel="0" collapsed="false">
      <c r="A4" s="18" t="n">
        <v>2</v>
      </c>
      <c r="B4" s="13" t="n">
        <f aca="false">Inputs!$C$6</f>
        <v>1000</v>
      </c>
      <c r="C4" s="13" t="n">
        <f aca="false">F3</f>
        <v>1010</v>
      </c>
      <c r="D4" s="13" t="n">
        <f aca="false">C4+B4</f>
        <v>2010</v>
      </c>
      <c r="E4" s="13" t="n">
        <f aca="false">D4*Inputs!$C$7</f>
        <v>20.1</v>
      </c>
      <c r="F4" s="13" t="n">
        <f aca="false">D4+E4</f>
        <v>2030.1</v>
      </c>
      <c r="G4" s="13" t="n">
        <f aca="false">K3</f>
        <v>1012.5</v>
      </c>
      <c r="H4" s="13" t="n">
        <f aca="false">G4+B4</f>
        <v>2012.5</v>
      </c>
      <c r="I4" s="13" t="n">
        <f aca="false">H4*Inputs!$C$7</f>
        <v>20.125</v>
      </c>
      <c r="J4" s="13" t="n">
        <f aca="false">H4*(Inputs!$C$8/12)</f>
        <v>5.03125</v>
      </c>
      <c r="K4" s="13" t="n">
        <f aca="false">H4+I4+J4</f>
        <v>2037.65625</v>
      </c>
      <c r="L4" s="13" t="n">
        <f aca="false">P3</f>
        <v>1010</v>
      </c>
      <c r="M4" s="13" t="n">
        <f aca="false">L4+B4</f>
        <v>2010</v>
      </c>
      <c r="N4" s="13" t="n">
        <f aca="false">M4*Inputs!$C$7</f>
        <v>20.1</v>
      </c>
      <c r="O4" s="13" t="n">
        <f aca="false">M4*(Inputs!$C$8/12)</f>
        <v>5.025</v>
      </c>
      <c r="P4" s="13" t="n">
        <f aca="false">M4+N4</f>
        <v>2030.1</v>
      </c>
      <c r="Q4" s="13" t="n">
        <f aca="false">Q3+O4</f>
        <v>7.525</v>
      </c>
      <c r="R4" s="13" t="n">
        <f aca="false">R3+B4</f>
        <v>2000</v>
      </c>
    </row>
    <row r="5" customFormat="false" ht="15" hidden="false" customHeight="false" outlineLevel="0" collapsed="false">
      <c r="A5" s="18" t="n">
        <v>3</v>
      </c>
      <c r="B5" s="13" t="n">
        <f aca="false">Inputs!$C$6</f>
        <v>1000</v>
      </c>
      <c r="C5" s="13" t="n">
        <f aca="false">F4</f>
        <v>2030.1</v>
      </c>
      <c r="D5" s="13" t="n">
        <f aca="false">C5+B5</f>
        <v>3030.1</v>
      </c>
      <c r="E5" s="13" t="n">
        <f aca="false">D5*Inputs!$C$7</f>
        <v>30.301</v>
      </c>
      <c r="F5" s="13" t="n">
        <f aca="false">D5+E5</f>
        <v>3060.401</v>
      </c>
      <c r="G5" s="13" t="n">
        <f aca="false">K4</f>
        <v>2037.65625</v>
      </c>
      <c r="H5" s="13" t="n">
        <f aca="false">G5+B5</f>
        <v>3037.65625</v>
      </c>
      <c r="I5" s="13" t="n">
        <f aca="false">H5*Inputs!$C$7</f>
        <v>30.3765625</v>
      </c>
      <c r="J5" s="13" t="n">
        <f aca="false">H5*(Inputs!$C$8/12)</f>
        <v>7.594140625</v>
      </c>
      <c r="K5" s="13" t="n">
        <f aca="false">H5+I5+J5</f>
        <v>3075.626953125</v>
      </c>
      <c r="L5" s="13" t="n">
        <f aca="false">P4</f>
        <v>2030.1</v>
      </c>
      <c r="M5" s="13" t="n">
        <f aca="false">L5+B5</f>
        <v>3030.1</v>
      </c>
      <c r="N5" s="13" t="n">
        <f aca="false">M5*Inputs!$C$7</f>
        <v>30.301</v>
      </c>
      <c r="O5" s="13" t="n">
        <f aca="false">M5*(Inputs!$C$8/12)</f>
        <v>7.57525</v>
      </c>
      <c r="P5" s="13" t="n">
        <f aca="false">M5+N5</f>
        <v>3060.401</v>
      </c>
      <c r="Q5" s="13" t="n">
        <f aca="false">Q4+O5</f>
        <v>15.10025</v>
      </c>
      <c r="R5" s="13" t="n">
        <f aca="false">R4+B5</f>
        <v>3000</v>
      </c>
    </row>
    <row r="6" customFormat="false" ht="15" hidden="false" customHeight="false" outlineLevel="0" collapsed="false">
      <c r="A6" s="18" t="n">
        <v>4</v>
      </c>
      <c r="B6" s="13" t="n">
        <f aca="false">Inputs!$C$6</f>
        <v>1000</v>
      </c>
      <c r="C6" s="13" t="n">
        <f aca="false">F5</f>
        <v>3060.401</v>
      </c>
      <c r="D6" s="13" t="n">
        <f aca="false">C6+B6</f>
        <v>4060.401</v>
      </c>
      <c r="E6" s="13" t="n">
        <f aca="false">D6*Inputs!$C$7</f>
        <v>40.60401</v>
      </c>
      <c r="F6" s="13" t="n">
        <f aca="false">D6+E6</f>
        <v>4101.00501</v>
      </c>
      <c r="G6" s="13" t="n">
        <f aca="false">K5</f>
        <v>3075.626953125</v>
      </c>
      <c r="H6" s="13" t="n">
        <f aca="false">G6+B6</f>
        <v>4075.626953125</v>
      </c>
      <c r="I6" s="13" t="n">
        <f aca="false">H6*Inputs!$C$7</f>
        <v>40.75626953125</v>
      </c>
      <c r="J6" s="13" t="n">
        <f aca="false">H6*(Inputs!$C$8/12)</f>
        <v>10.1890673828125</v>
      </c>
      <c r="K6" s="13" t="n">
        <f aca="false">H6+I6+J6</f>
        <v>4126.57229003906</v>
      </c>
      <c r="L6" s="13" t="n">
        <f aca="false">P5</f>
        <v>3060.401</v>
      </c>
      <c r="M6" s="13" t="n">
        <f aca="false">L6+B6</f>
        <v>4060.401</v>
      </c>
      <c r="N6" s="13" t="n">
        <f aca="false">M6*Inputs!$C$7</f>
        <v>40.60401</v>
      </c>
      <c r="O6" s="13" t="n">
        <f aca="false">M6*(Inputs!$C$8/12)</f>
        <v>10.1510025</v>
      </c>
      <c r="P6" s="13" t="n">
        <f aca="false">M6+N6</f>
        <v>4101.00501</v>
      </c>
      <c r="Q6" s="13" t="n">
        <f aca="false">Q5+O6</f>
        <v>25.2512525</v>
      </c>
      <c r="R6" s="13" t="n">
        <f aca="false">R5+B6</f>
        <v>4000</v>
      </c>
    </row>
    <row r="7" customFormat="false" ht="15" hidden="false" customHeight="false" outlineLevel="0" collapsed="false">
      <c r="A7" s="18" t="n">
        <v>5</v>
      </c>
      <c r="B7" s="13" t="n">
        <f aca="false">Inputs!$C$6</f>
        <v>1000</v>
      </c>
      <c r="C7" s="13" t="n">
        <f aca="false">F6</f>
        <v>4101.00501</v>
      </c>
      <c r="D7" s="13" t="n">
        <f aca="false">C7+B7</f>
        <v>5101.00501</v>
      </c>
      <c r="E7" s="13" t="n">
        <f aca="false">D7*Inputs!$C$7</f>
        <v>51.0100501</v>
      </c>
      <c r="F7" s="13" t="n">
        <f aca="false">D7+E7</f>
        <v>5152.0150601</v>
      </c>
      <c r="G7" s="13" t="n">
        <f aca="false">K6</f>
        <v>4126.57229003906</v>
      </c>
      <c r="H7" s="13" t="n">
        <f aca="false">G7+B7</f>
        <v>5126.57229003906</v>
      </c>
      <c r="I7" s="13" t="n">
        <f aca="false">H7*Inputs!$C$7</f>
        <v>51.2657229003906</v>
      </c>
      <c r="J7" s="13" t="n">
        <f aca="false">H7*(Inputs!$C$8/12)</f>
        <v>12.8164307250977</v>
      </c>
      <c r="K7" s="13" t="n">
        <f aca="false">H7+I7+J7</f>
        <v>5190.65444366455</v>
      </c>
      <c r="L7" s="13" t="n">
        <f aca="false">P6</f>
        <v>4101.00501</v>
      </c>
      <c r="M7" s="13" t="n">
        <f aca="false">L7+B7</f>
        <v>5101.00501</v>
      </c>
      <c r="N7" s="13" t="n">
        <f aca="false">M7*Inputs!$C$7</f>
        <v>51.0100501</v>
      </c>
      <c r="O7" s="13" t="n">
        <f aca="false">M7*(Inputs!$C$8/12)</f>
        <v>12.752512525</v>
      </c>
      <c r="P7" s="13" t="n">
        <f aca="false">M7+N7</f>
        <v>5152.0150601</v>
      </c>
      <c r="Q7" s="13" t="n">
        <f aca="false">Q6+O7</f>
        <v>38.003765025</v>
      </c>
      <c r="R7" s="13" t="n">
        <f aca="false">R6+B7</f>
        <v>5000</v>
      </c>
    </row>
    <row r="8" customFormat="false" ht="15" hidden="false" customHeight="false" outlineLevel="0" collapsed="false">
      <c r="A8" s="18" t="n">
        <v>6</v>
      </c>
      <c r="B8" s="13" t="n">
        <f aca="false">Inputs!$C$6</f>
        <v>1000</v>
      </c>
      <c r="C8" s="13" t="n">
        <f aca="false">F7</f>
        <v>5152.0150601</v>
      </c>
      <c r="D8" s="13" t="n">
        <f aca="false">C8+B8</f>
        <v>6152.0150601</v>
      </c>
      <c r="E8" s="13" t="n">
        <f aca="false">D8*Inputs!$C$7</f>
        <v>61.520150601</v>
      </c>
      <c r="F8" s="13" t="n">
        <f aca="false">D8+E8</f>
        <v>6213.535210701</v>
      </c>
      <c r="G8" s="13" t="n">
        <f aca="false">K7</f>
        <v>5190.65444366455</v>
      </c>
      <c r="H8" s="13" t="n">
        <f aca="false">G8+B8</f>
        <v>6190.65444366455</v>
      </c>
      <c r="I8" s="13" t="n">
        <f aca="false">H8*Inputs!$C$7</f>
        <v>61.9065444366455</v>
      </c>
      <c r="J8" s="13" t="n">
        <f aca="false">H8*(Inputs!$C$8/12)</f>
        <v>15.4766361091614</v>
      </c>
      <c r="K8" s="13" t="n">
        <f aca="false">H8+I8+J8</f>
        <v>6268.03762421036</v>
      </c>
      <c r="L8" s="13" t="n">
        <f aca="false">P7</f>
        <v>5152.0150601</v>
      </c>
      <c r="M8" s="13" t="n">
        <f aca="false">L8+B8</f>
        <v>6152.0150601</v>
      </c>
      <c r="N8" s="13" t="n">
        <f aca="false">M8*Inputs!$C$7</f>
        <v>61.520150601</v>
      </c>
      <c r="O8" s="13" t="n">
        <f aca="false">M8*(Inputs!$C$8/12)</f>
        <v>15.38003765025</v>
      </c>
      <c r="P8" s="13" t="n">
        <f aca="false">M8+N8</f>
        <v>6213.535210701</v>
      </c>
      <c r="Q8" s="13" t="n">
        <f aca="false">Q7+O8</f>
        <v>53.38380267525</v>
      </c>
      <c r="R8" s="13" t="n">
        <f aca="false">R7+B8</f>
        <v>6000</v>
      </c>
    </row>
    <row r="9" customFormat="false" ht="15" hidden="false" customHeight="false" outlineLevel="0" collapsed="false">
      <c r="A9" s="18" t="n">
        <v>7</v>
      </c>
      <c r="B9" s="13" t="n">
        <f aca="false">Inputs!$C$6</f>
        <v>1000</v>
      </c>
      <c r="C9" s="13" t="n">
        <f aca="false">F8</f>
        <v>6213.535210701</v>
      </c>
      <c r="D9" s="13" t="n">
        <f aca="false">C9+B9</f>
        <v>7213.535210701</v>
      </c>
      <c r="E9" s="13" t="n">
        <f aca="false">D9*Inputs!$C$7</f>
        <v>72.13535210701</v>
      </c>
      <c r="F9" s="13" t="n">
        <f aca="false">D9+E9</f>
        <v>7285.67056280801</v>
      </c>
      <c r="G9" s="13" t="n">
        <f aca="false">K8</f>
        <v>6268.03762421036</v>
      </c>
      <c r="H9" s="13" t="n">
        <f aca="false">G9+B9</f>
        <v>7268.03762421036</v>
      </c>
      <c r="I9" s="13" t="n">
        <f aca="false">H9*Inputs!$C$7</f>
        <v>72.6803762421036</v>
      </c>
      <c r="J9" s="13" t="n">
        <f aca="false">H9*(Inputs!$C$8/12)</f>
        <v>18.1700940605259</v>
      </c>
      <c r="K9" s="13" t="n">
        <f aca="false">H9+I9+J9</f>
        <v>7358.88809451299</v>
      </c>
      <c r="L9" s="13" t="n">
        <f aca="false">P8</f>
        <v>6213.535210701</v>
      </c>
      <c r="M9" s="13" t="n">
        <f aca="false">L9+B9</f>
        <v>7213.535210701</v>
      </c>
      <c r="N9" s="13" t="n">
        <f aca="false">M9*Inputs!$C$7</f>
        <v>72.13535210701</v>
      </c>
      <c r="O9" s="13" t="n">
        <f aca="false">M9*(Inputs!$C$8/12)</f>
        <v>18.0338380267525</v>
      </c>
      <c r="P9" s="13" t="n">
        <f aca="false">M9+N9</f>
        <v>7285.67056280801</v>
      </c>
      <c r="Q9" s="13" t="n">
        <f aca="false">Q8+O9</f>
        <v>71.4176407020025</v>
      </c>
      <c r="R9" s="13" t="n">
        <f aca="false">R8+B9</f>
        <v>7000</v>
      </c>
    </row>
    <row r="10" customFormat="false" ht="15" hidden="false" customHeight="false" outlineLevel="0" collapsed="false">
      <c r="A10" s="18" t="n">
        <v>8</v>
      </c>
      <c r="B10" s="13" t="n">
        <f aca="false">Inputs!$C$6</f>
        <v>1000</v>
      </c>
      <c r="C10" s="13" t="n">
        <f aca="false">F9</f>
        <v>7285.67056280801</v>
      </c>
      <c r="D10" s="13" t="n">
        <f aca="false">C10+B10</f>
        <v>8285.67056280801</v>
      </c>
      <c r="E10" s="13" t="n">
        <f aca="false">D10*Inputs!$C$7</f>
        <v>82.8567056280801</v>
      </c>
      <c r="F10" s="13" t="n">
        <f aca="false">D10+E10</f>
        <v>8368.52726843609</v>
      </c>
      <c r="G10" s="13" t="n">
        <f aca="false">K9</f>
        <v>7358.88809451299</v>
      </c>
      <c r="H10" s="13" t="n">
        <f aca="false">G10+B10</f>
        <v>8358.88809451299</v>
      </c>
      <c r="I10" s="13" t="n">
        <f aca="false">H10*Inputs!$C$7</f>
        <v>83.5888809451299</v>
      </c>
      <c r="J10" s="13" t="n">
        <f aca="false">H10*(Inputs!$C$8/12)</f>
        <v>20.8972202362825</v>
      </c>
      <c r="K10" s="13" t="n">
        <f aca="false">H10+I10+J10</f>
        <v>8463.3741956944</v>
      </c>
      <c r="L10" s="13" t="n">
        <f aca="false">P9</f>
        <v>7285.67056280801</v>
      </c>
      <c r="M10" s="13" t="n">
        <f aca="false">L10+B10</f>
        <v>8285.67056280801</v>
      </c>
      <c r="N10" s="13" t="n">
        <f aca="false">M10*Inputs!$C$7</f>
        <v>82.8567056280801</v>
      </c>
      <c r="O10" s="13" t="n">
        <f aca="false">M10*(Inputs!$C$8/12)</f>
        <v>20.71417640702</v>
      </c>
      <c r="P10" s="13" t="n">
        <f aca="false">M10+N10</f>
        <v>8368.52726843609</v>
      </c>
      <c r="Q10" s="13" t="n">
        <f aca="false">Q9+O10</f>
        <v>92.1318171090225</v>
      </c>
      <c r="R10" s="13" t="n">
        <f aca="false">R9+B10</f>
        <v>8000</v>
      </c>
    </row>
    <row r="11" customFormat="false" ht="15" hidden="false" customHeight="false" outlineLevel="0" collapsed="false">
      <c r="A11" s="18" t="n">
        <v>9</v>
      </c>
      <c r="B11" s="13" t="n">
        <f aca="false">Inputs!$C$6</f>
        <v>1000</v>
      </c>
      <c r="C11" s="13" t="n">
        <f aca="false">F10</f>
        <v>8368.52726843609</v>
      </c>
      <c r="D11" s="13" t="n">
        <f aca="false">C11+B11</f>
        <v>9368.52726843609</v>
      </c>
      <c r="E11" s="13" t="n">
        <f aca="false">D11*Inputs!$C$7</f>
        <v>93.6852726843609</v>
      </c>
      <c r="F11" s="13" t="n">
        <f aca="false">D11+E11</f>
        <v>9462.21254112045</v>
      </c>
      <c r="G11" s="13" t="n">
        <f aca="false">K10</f>
        <v>8463.3741956944</v>
      </c>
      <c r="H11" s="13" t="n">
        <f aca="false">G11+B11</f>
        <v>9463.3741956944</v>
      </c>
      <c r="I11" s="13" t="n">
        <f aca="false">H11*Inputs!$C$7</f>
        <v>94.633741956944</v>
      </c>
      <c r="J11" s="13" t="n">
        <f aca="false">H11*(Inputs!$C$8/12)</f>
        <v>23.658435489236</v>
      </c>
      <c r="K11" s="13" t="n">
        <f aca="false">H11+I11+J11</f>
        <v>9581.66637314058</v>
      </c>
      <c r="L11" s="13" t="n">
        <f aca="false">P10</f>
        <v>8368.52726843609</v>
      </c>
      <c r="M11" s="13" t="n">
        <f aca="false">L11+B11</f>
        <v>9368.52726843609</v>
      </c>
      <c r="N11" s="13" t="n">
        <f aca="false">M11*Inputs!$C$7</f>
        <v>93.6852726843609</v>
      </c>
      <c r="O11" s="13" t="n">
        <f aca="false">M11*(Inputs!$C$8/12)</f>
        <v>23.4213181710902</v>
      </c>
      <c r="P11" s="13" t="n">
        <f aca="false">M11+N11</f>
        <v>9462.21254112045</v>
      </c>
      <c r="Q11" s="13" t="n">
        <f aca="false">Q10+O11</f>
        <v>115.553135280113</v>
      </c>
      <c r="R11" s="13" t="n">
        <f aca="false">R10+B11</f>
        <v>9000</v>
      </c>
    </row>
    <row r="12" customFormat="false" ht="15" hidden="false" customHeight="false" outlineLevel="0" collapsed="false">
      <c r="A12" s="18" t="n">
        <v>10</v>
      </c>
      <c r="B12" s="13" t="n">
        <f aca="false">Inputs!$C$6</f>
        <v>1000</v>
      </c>
      <c r="C12" s="13" t="n">
        <f aca="false">F11</f>
        <v>9462.21254112045</v>
      </c>
      <c r="D12" s="13" t="n">
        <f aca="false">C12+B12</f>
        <v>10462.2125411205</v>
      </c>
      <c r="E12" s="13" t="n">
        <f aca="false">D12*Inputs!$C$7</f>
        <v>104.622125411205</v>
      </c>
      <c r="F12" s="13" t="n">
        <f aca="false">D12+E12</f>
        <v>10566.8346665317</v>
      </c>
      <c r="G12" s="13" t="n">
        <f aca="false">K11</f>
        <v>9581.66637314058</v>
      </c>
      <c r="H12" s="13" t="n">
        <f aca="false">G12+B12</f>
        <v>10581.6663731406</v>
      </c>
      <c r="I12" s="13" t="n">
        <f aca="false">H12*Inputs!$C$7</f>
        <v>105.816663731406</v>
      </c>
      <c r="J12" s="13" t="n">
        <f aca="false">H12*(Inputs!$C$8/12)</f>
        <v>26.4541659328515</v>
      </c>
      <c r="K12" s="13" t="n">
        <f aca="false">H12+I12+J12</f>
        <v>10713.9372028048</v>
      </c>
      <c r="L12" s="13" t="n">
        <f aca="false">P11</f>
        <v>9462.21254112045</v>
      </c>
      <c r="M12" s="13" t="n">
        <f aca="false">L12+B12</f>
        <v>10462.2125411205</v>
      </c>
      <c r="N12" s="13" t="n">
        <f aca="false">M12*Inputs!$C$7</f>
        <v>104.622125411205</v>
      </c>
      <c r="O12" s="13" t="n">
        <f aca="false">M12*(Inputs!$C$8/12)</f>
        <v>26.1555313528011</v>
      </c>
      <c r="P12" s="13" t="n">
        <f aca="false">M12+N12</f>
        <v>10566.8346665317</v>
      </c>
      <c r="Q12" s="13" t="n">
        <f aca="false">Q11+O12</f>
        <v>141.708666632914</v>
      </c>
      <c r="R12" s="13" t="n">
        <f aca="false">R11+B12</f>
        <v>10000</v>
      </c>
    </row>
    <row r="13" customFormat="false" ht="15" hidden="false" customHeight="false" outlineLevel="0" collapsed="false">
      <c r="A13" s="18" t="n">
        <v>11</v>
      </c>
      <c r="B13" s="13" t="n">
        <f aca="false">Inputs!$C$6</f>
        <v>1000</v>
      </c>
      <c r="C13" s="13" t="n">
        <f aca="false">F12</f>
        <v>10566.8346665317</v>
      </c>
      <c r="D13" s="13" t="n">
        <f aca="false">C13+B13</f>
        <v>11566.8346665317</v>
      </c>
      <c r="E13" s="13" t="n">
        <f aca="false">D13*Inputs!$C$7</f>
        <v>115.668346665317</v>
      </c>
      <c r="F13" s="13" t="n">
        <f aca="false">D13+E13</f>
        <v>11682.503013197</v>
      </c>
      <c r="G13" s="13" t="n">
        <f aca="false">K12</f>
        <v>10713.9372028048</v>
      </c>
      <c r="H13" s="13" t="n">
        <f aca="false">G13+B13</f>
        <v>11713.9372028048</v>
      </c>
      <c r="I13" s="13" t="n">
        <f aca="false">H13*Inputs!$C$7</f>
        <v>117.139372028048</v>
      </c>
      <c r="J13" s="13" t="n">
        <f aca="false">H13*(Inputs!$C$8/12)</f>
        <v>29.2848430070121</v>
      </c>
      <c r="K13" s="13" t="n">
        <f aca="false">H13+I13+J13</f>
        <v>11860.3614178399</v>
      </c>
      <c r="L13" s="13" t="n">
        <f aca="false">P12</f>
        <v>10566.8346665317</v>
      </c>
      <c r="M13" s="13" t="n">
        <f aca="false">L13+B13</f>
        <v>11566.8346665317</v>
      </c>
      <c r="N13" s="13" t="n">
        <f aca="false">M13*Inputs!$C$7</f>
        <v>115.668346665317</v>
      </c>
      <c r="O13" s="13" t="n">
        <f aca="false">M13*(Inputs!$C$8/12)</f>
        <v>28.9170866663291</v>
      </c>
      <c r="P13" s="13" t="n">
        <f aca="false">M13+N13</f>
        <v>11682.503013197</v>
      </c>
      <c r="Q13" s="13" t="n">
        <f aca="false">Q12+O13</f>
        <v>170.625753299243</v>
      </c>
      <c r="R13" s="13" t="n">
        <f aca="false">R12+B13</f>
        <v>11000</v>
      </c>
    </row>
    <row r="14" customFormat="false" ht="15" hidden="false" customHeight="false" outlineLevel="0" collapsed="false">
      <c r="A14" s="18" t="n">
        <v>12</v>
      </c>
      <c r="B14" s="13" t="n">
        <f aca="false">Inputs!$C$6</f>
        <v>1000</v>
      </c>
      <c r="C14" s="13" t="n">
        <f aca="false">F13</f>
        <v>11682.503013197</v>
      </c>
      <c r="D14" s="13" t="n">
        <f aca="false">C14+B14</f>
        <v>12682.503013197</v>
      </c>
      <c r="E14" s="13" t="n">
        <f aca="false">D14*Inputs!$C$7</f>
        <v>126.82503013197</v>
      </c>
      <c r="F14" s="13" t="n">
        <f aca="false">D14+E14</f>
        <v>12809.3280433289</v>
      </c>
      <c r="G14" s="13" t="n">
        <f aca="false">K13</f>
        <v>11860.3614178399</v>
      </c>
      <c r="H14" s="13" t="n">
        <f aca="false">G14+B14</f>
        <v>12860.3614178399</v>
      </c>
      <c r="I14" s="13" t="n">
        <f aca="false">H14*Inputs!$C$7</f>
        <v>128.603614178399</v>
      </c>
      <c r="J14" s="13" t="n">
        <f aca="false">H14*(Inputs!$C$8/12)</f>
        <v>32.1509035445997</v>
      </c>
      <c r="K14" s="13" t="n">
        <f aca="false">H14+I14+J14</f>
        <v>13021.1159355629</v>
      </c>
      <c r="L14" s="13" t="n">
        <f aca="false">P13</f>
        <v>11682.503013197</v>
      </c>
      <c r="M14" s="13" t="n">
        <f aca="false">L14+B14</f>
        <v>12682.503013197</v>
      </c>
      <c r="N14" s="13" t="n">
        <f aca="false">M14*Inputs!$C$7</f>
        <v>126.82503013197</v>
      </c>
      <c r="O14" s="13" t="n">
        <f aca="false">M14*(Inputs!$C$8/12)</f>
        <v>31.7062575329924</v>
      </c>
      <c r="P14" s="13" t="n">
        <f aca="false">M14+N14</f>
        <v>12809.3280433289</v>
      </c>
      <c r="Q14" s="13" t="n">
        <f aca="false">Q13+O14</f>
        <v>202.332010832235</v>
      </c>
      <c r="R14" s="13" t="n">
        <f aca="false">R13+B14</f>
        <v>12000</v>
      </c>
    </row>
    <row r="15" customFormat="false" ht="15" hidden="false" customHeight="false" outlineLevel="0" collapsed="false">
      <c r="A15" s="18" t="n">
        <v>13</v>
      </c>
      <c r="B15" s="13" t="n">
        <f aca="false">Inputs!$C$6</f>
        <v>1000</v>
      </c>
      <c r="C15" s="13" t="n">
        <f aca="false">F14</f>
        <v>12809.3280433289</v>
      </c>
      <c r="D15" s="13" t="n">
        <f aca="false">C15+B15</f>
        <v>13809.3280433289</v>
      </c>
      <c r="E15" s="13" t="n">
        <f aca="false">D15*Inputs!$C$7</f>
        <v>138.093280433289</v>
      </c>
      <c r="F15" s="13" t="n">
        <f aca="false">D15+E15</f>
        <v>13947.4213237622</v>
      </c>
      <c r="G15" s="13" t="n">
        <f aca="false">K14</f>
        <v>13021.1159355629</v>
      </c>
      <c r="H15" s="13" t="n">
        <f aca="false">G15+B15</f>
        <v>14021.1159355629</v>
      </c>
      <c r="I15" s="13" t="n">
        <f aca="false">H15*Inputs!$C$7</f>
        <v>140.211159355629</v>
      </c>
      <c r="J15" s="13" t="n">
        <f aca="false">H15*(Inputs!$C$8/12)</f>
        <v>35.0527898389072</v>
      </c>
      <c r="K15" s="13" t="n">
        <f aca="false">H15+I15+J15</f>
        <v>14196.3798847574</v>
      </c>
      <c r="L15" s="13" t="n">
        <f aca="false">P14</f>
        <v>12809.3280433289</v>
      </c>
      <c r="M15" s="13" t="n">
        <f aca="false">L15+B15</f>
        <v>13809.3280433289</v>
      </c>
      <c r="N15" s="13" t="n">
        <f aca="false">M15*Inputs!$C$7</f>
        <v>138.093280433289</v>
      </c>
      <c r="O15" s="13" t="n">
        <f aca="false">M15*(Inputs!$C$8/12)</f>
        <v>34.5233201083224</v>
      </c>
      <c r="P15" s="13" t="n">
        <f aca="false">M15+N15</f>
        <v>13947.4213237622</v>
      </c>
      <c r="Q15" s="13" t="n">
        <f aca="false">Q14+O15</f>
        <v>236.855330940558</v>
      </c>
      <c r="R15" s="13" t="n">
        <f aca="false">R14+B15</f>
        <v>13000</v>
      </c>
    </row>
    <row r="16" customFormat="false" ht="15" hidden="false" customHeight="false" outlineLevel="0" collapsed="false">
      <c r="A16" s="18" t="n">
        <v>14</v>
      </c>
      <c r="B16" s="13" t="n">
        <f aca="false">Inputs!$C$6</f>
        <v>1000</v>
      </c>
      <c r="C16" s="13" t="n">
        <f aca="false">F15</f>
        <v>13947.4213237622</v>
      </c>
      <c r="D16" s="13" t="n">
        <f aca="false">C16+B16</f>
        <v>14947.4213237622</v>
      </c>
      <c r="E16" s="13" t="n">
        <f aca="false">D16*Inputs!$C$7</f>
        <v>149.474213237622</v>
      </c>
      <c r="F16" s="13" t="n">
        <f aca="false">D16+E16</f>
        <v>15096.8955369999</v>
      </c>
      <c r="G16" s="13" t="n">
        <f aca="false">K15</f>
        <v>14196.3798847574</v>
      </c>
      <c r="H16" s="13" t="n">
        <f aca="false">G16+B16</f>
        <v>15196.3798847574</v>
      </c>
      <c r="I16" s="13" t="n">
        <f aca="false">H16*Inputs!$C$7</f>
        <v>151.963798847574</v>
      </c>
      <c r="J16" s="13" t="n">
        <f aca="false">H16*(Inputs!$C$8/12)</f>
        <v>37.9909497118936</v>
      </c>
      <c r="K16" s="13" t="n">
        <f aca="false">H16+I16+J16</f>
        <v>15386.3346333169</v>
      </c>
      <c r="L16" s="13" t="n">
        <f aca="false">P15</f>
        <v>13947.4213237622</v>
      </c>
      <c r="M16" s="13" t="n">
        <f aca="false">L16+B16</f>
        <v>14947.4213237622</v>
      </c>
      <c r="N16" s="13" t="n">
        <f aca="false">M16*Inputs!$C$7</f>
        <v>149.474213237622</v>
      </c>
      <c r="O16" s="13" t="n">
        <f aca="false">M16*(Inputs!$C$8/12)</f>
        <v>37.3685533094056</v>
      </c>
      <c r="P16" s="13" t="n">
        <f aca="false">M16+N16</f>
        <v>15096.8955369999</v>
      </c>
      <c r="Q16" s="13" t="n">
        <f aca="false">Q15+O16</f>
        <v>274.223884249963</v>
      </c>
      <c r="R16" s="13" t="n">
        <f aca="false">R15+B16</f>
        <v>14000</v>
      </c>
    </row>
    <row r="17" customFormat="false" ht="15" hidden="false" customHeight="false" outlineLevel="0" collapsed="false">
      <c r="A17" s="18" t="n">
        <v>15</v>
      </c>
      <c r="B17" s="13" t="n">
        <f aca="false">Inputs!$C$6</f>
        <v>1000</v>
      </c>
      <c r="C17" s="13" t="n">
        <f aca="false">F16</f>
        <v>15096.8955369999</v>
      </c>
      <c r="D17" s="13" t="n">
        <f aca="false">C17+B17</f>
        <v>16096.8955369999</v>
      </c>
      <c r="E17" s="13" t="n">
        <f aca="false">D17*Inputs!$C$7</f>
        <v>160.968955369999</v>
      </c>
      <c r="F17" s="13" t="n">
        <f aca="false">D17+E17</f>
        <v>16257.8644923699</v>
      </c>
      <c r="G17" s="13" t="n">
        <f aca="false">K16</f>
        <v>15386.3346333169</v>
      </c>
      <c r="H17" s="13" t="n">
        <f aca="false">G17+B17</f>
        <v>16386.3346333169</v>
      </c>
      <c r="I17" s="13" t="n">
        <f aca="false">H17*Inputs!$C$7</f>
        <v>163.863346333169</v>
      </c>
      <c r="J17" s="13" t="n">
        <f aca="false">H17*(Inputs!$C$8/12)</f>
        <v>40.9658365832923</v>
      </c>
      <c r="K17" s="13" t="n">
        <f aca="false">H17+I17+J17</f>
        <v>16591.1638162334</v>
      </c>
      <c r="L17" s="13" t="n">
        <f aca="false">P16</f>
        <v>15096.8955369999</v>
      </c>
      <c r="M17" s="13" t="n">
        <f aca="false">L17+B17</f>
        <v>16096.8955369999</v>
      </c>
      <c r="N17" s="13" t="n">
        <f aca="false">M17*Inputs!$C$7</f>
        <v>160.968955369999</v>
      </c>
      <c r="O17" s="13" t="n">
        <f aca="false">M17*(Inputs!$C$8/12)</f>
        <v>40.2422388424996</v>
      </c>
      <c r="P17" s="13" t="n">
        <f aca="false">M17+N17</f>
        <v>16257.8644923699</v>
      </c>
      <c r="Q17" s="13" t="n">
        <f aca="false">Q16+O17</f>
        <v>314.466123092463</v>
      </c>
      <c r="R17" s="13" t="n">
        <f aca="false">R16+B17</f>
        <v>15000</v>
      </c>
    </row>
    <row r="18" customFormat="false" ht="15" hidden="false" customHeight="false" outlineLevel="0" collapsed="false">
      <c r="A18" s="18" t="n">
        <v>16</v>
      </c>
      <c r="B18" s="13" t="n">
        <f aca="false">Inputs!$C$6</f>
        <v>1000</v>
      </c>
      <c r="C18" s="13" t="n">
        <f aca="false">F17</f>
        <v>16257.8644923699</v>
      </c>
      <c r="D18" s="13" t="n">
        <f aca="false">C18+B18</f>
        <v>17257.8644923699</v>
      </c>
      <c r="E18" s="13" t="n">
        <f aca="false">D18*Inputs!$C$7</f>
        <v>172.578644923699</v>
      </c>
      <c r="F18" s="13" t="n">
        <f aca="false">D18+E18</f>
        <v>17430.4431372936</v>
      </c>
      <c r="G18" s="13" t="n">
        <f aca="false">K17</f>
        <v>16591.1638162334</v>
      </c>
      <c r="H18" s="13" t="n">
        <f aca="false">G18+B18</f>
        <v>17591.1638162334</v>
      </c>
      <c r="I18" s="13" t="n">
        <f aca="false">H18*Inputs!$C$7</f>
        <v>175.911638162334</v>
      </c>
      <c r="J18" s="13" t="n">
        <f aca="false">H18*(Inputs!$C$8/12)</f>
        <v>43.9779095405834</v>
      </c>
      <c r="K18" s="13" t="n">
        <f aca="false">H18+I18+J18</f>
        <v>17811.0533639363</v>
      </c>
      <c r="L18" s="13" t="n">
        <f aca="false">P17</f>
        <v>16257.8644923699</v>
      </c>
      <c r="M18" s="13" t="n">
        <f aca="false">L18+B18</f>
        <v>17257.8644923699</v>
      </c>
      <c r="N18" s="13" t="n">
        <f aca="false">M18*Inputs!$C$7</f>
        <v>172.578644923699</v>
      </c>
      <c r="O18" s="13" t="n">
        <f aca="false">M18*(Inputs!$C$8/12)</f>
        <v>43.1446612309246</v>
      </c>
      <c r="P18" s="13" t="n">
        <f aca="false">M18+N18</f>
        <v>17430.4431372936</v>
      </c>
      <c r="Q18" s="13" t="n">
        <f aca="false">Q17+O18</f>
        <v>357.610784323388</v>
      </c>
      <c r="R18" s="13" t="n">
        <f aca="false">R17+B18</f>
        <v>16000</v>
      </c>
    </row>
    <row r="19" customFormat="false" ht="15" hidden="false" customHeight="false" outlineLevel="0" collapsed="false">
      <c r="A19" s="18" t="n">
        <v>17</v>
      </c>
      <c r="B19" s="13" t="n">
        <f aca="false">Inputs!$C$6</f>
        <v>1000</v>
      </c>
      <c r="C19" s="13" t="n">
        <f aca="false">F18</f>
        <v>17430.4431372936</v>
      </c>
      <c r="D19" s="13" t="n">
        <f aca="false">C19+B19</f>
        <v>18430.4431372936</v>
      </c>
      <c r="E19" s="13" t="n">
        <f aca="false">D19*Inputs!$C$7</f>
        <v>184.304431372936</v>
      </c>
      <c r="F19" s="13" t="n">
        <f aca="false">D19+E19</f>
        <v>18614.7475686665</v>
      </c>
      <c r="G19" s="13" t="n">
        <f aca="false">K18</f>
        <v>17811.0533639363</v>
      </c>
      <c r="H19" s="13" t="n">
        <f aca="false">G19+B19</f>
        <v>18811.0533639363</v>
      </c>
      <c r="I19" s="13" t="n">
        <f aca="false">H19*Inputs!$C$7</f>
        <v>188.110533639363</v>
      </c>
      <c r="J19" s="13" t="n">
        <f aca="false">H19*(Inputs!$C$8/12)</f>
        <v>47.0276334098407</v>
      </c>
      <c r="K19" s="13" t="n">
        <f aca="false">H19+I19+J19</f>
        <v>19046.1915309855</v>
      </c>
      <c r="L19" s="13" t="n">
        <f aca="false">P18</f>
        <v>17430.4431372936</v>
      </c>
      <c r="M19" s="13" t="n">
        <f aca="false">L19+B19</f>
        <v>18430.4431372936</v>
      </c>
      <c r="N19" s="13" t="n">
        <f aca="false">M19*Inputs!$C$7</f>
        <v>184.304431372936</v>
      </c>
      <c r="O19" s="13" t="n">
        <f aca="false">M19*(Inputs!$C$8/12)</f>
        <v>46.0761078432339</v>
      </c>
      <c r="P19" s="13" t="n">
        <f aca="false">M19+N19</f>
        <v>18614.7475686665</v>
      </c>
      <c r="Q19" s="13" t="n">
        <f aca="false">Q18+O19</f>
        <v>403.686892166622</v>
      </c>
      <c r="R19" s="13" t="n">
        <f aca="false">R18+B19</f>
        <v>17000</v>
      </c>
    </row>
    <row r="20" customFormat="false" ht="15" hidden="false" customHeight="false" outlineLevel="0" collapsed="false">
      <c r="A20" s="18" t="n">
        <v>18</v>
      </c>
      <c r="B20" s="13" t="n">
        <f aca="false">Inputs!$C$6</f>
        <v>1000</v>
      </c>
      <c r="C20" s="13" t="n">
        <f aca="false">F19</f>
        <v>18614.7475686665</v>
      </c>
      <c r="D20" s="13" t="n">
        <f aca="false">C20+B20</f>
        <v>19614.7475686665</v>
      </c>
      <c r="E20" s="13" t="n">
        <f aca="false">D20*Inputs!$C$7</f>
        <v>196.147475686665</v>
      </c>
      <c r="F20" s="13" t="n">
        <f aca="false">D20+E20</f>
        <v>19810.8950443532</v>
      </c>
      <c r="G20" s="13" t="n">
        <f aca="false">K19</f>
        <v>19046.1915309855</v>
      </c>
      <c r="H20" s="13" t="n">
        <f aca="false">G20+B20</f>
        <v>20046.1915309855</v>
      </c>
      <c r="I20" s="13" t="n">
        <f aca="false">H20*Inputs!$C$7</f>
        <v>200.461915309855</v>
      </c>
      <c r="J20" s="13" t="n">
        <f aca="false">H20*(Inputs!$C$8/12)</f>
        <v>50.1154788274637</v>
      </c>
      <c r="K20" s="13" t="n">
        <f aca="false">H20+I20+J20</f>
        <v>20296.7689251228</v>
      </c>
      <c r="L20" s="13" t="n">
        <f aca="false">P19</f>
        <v>18614.7475686665</v>
      </c>
      <c r="M20" s="13" t="n">
        <f aca="false">L20+B20</f>
        <v>19614.7475686665</v>
      </c>
      <c r="N20" s="13" t="n">
        <f aca="false">M20*Inputs!$C$7</f>
        <v>196.147475686665</v>
      </c>
      <c r="O20" s="13" t="n">
        <f aca="false">M20*(Inputs!$C$8/12)</f>
        <v>49.0368689216662</v>
      </c>
      <c r="P20" s="13" t="n">
        <f aca="false">M20+N20</f>
        <v>19810.8950443532</v>
      </c>
      <c r="Q20" s="13" t="n">
        <f aca="false">Q19+O20</f>
        <v>452.723761088288</v>
      </c>
      <c r="R20" s="13" t="n">
        <f aca="false">R19+B20</f>
        <v>18000</v>
      </c>
    </row>
    <row r="21" customFormat="false" ht="15" hidden="false" customHeight="false" outlineLevel="0" collapsed="false">
      <c r="A21" s="18" t="n">
        <v>19</v>
      </c>
      <c r="B21" s="13" t="n">
        <f aca="false">Inputs!$C$6</f>
        <v>1000</v>
      </c>
      <c r="C21" s="13" t="n">
        <f aca="false">F20</f>
        <v>19810.8950443532</v>
      </c>
      <c r="D21" s="13" t="n">
        <f aca="false">C21+B21</f>
        <v>20810.8950443532</v>
      </c>
      <c r="E21" s="13" t="n">
        <f aca="false">D21*Inputs!$C$7</f>
        <v>208.108950443532</v>
      </c>
      <c r="F21" s="13" t="n">
        <f aca="false">D21+E21</f>
        <v>21019.0039947967</v>
      </c>
      <c r="G21" s="13" t="n">
        <f aca="false">K20</f>
        <v>20296.7689251228</v>
      </c>
      <c r="H21" s="13" t="n">
        <f aca="false">G21+B21</f>
        <v>21296.7689251228</v>
      </c>
      <c r="I21" s="13" t="n">
        <f aca="false">H21*Inputs!$C$7</f>
        <v>212.967689251228</v>
      </c>
      <c r="J21" s="13" t="n">
        <f aca="false">H21*(Inputs!$C$8/12)</f>
        <v>53.241922312807</v>
      </c>
      <c r="K21" s="13" t="n">
        <f aca="false">H21+I21+J21</f>
        <v>21562.9785366868</v>
      </c>
      <c r="L21" s="13" t="n">
        <f aca="false">P20</f>
        <v>19810.8950443532</v>
      </c>
      <c r="M21" s="13" t="n">
        <f aca="false">L21+B21</f>
        <v>20810.8950443532</v>
      </c>
      <c r="N21" s="13" t="n">
        <f aca="false">M21*Inputs!$C$7</f>
        <v>208.108950443532</v>
      </c>
      <c r="O21" s="13" t="n">
        <f aca="false">M21*(Inputs!$C$8/12)</f>
        <v>52.0272376108829</v>
      </c>
      <c r="P21" s="13" t="n">
        <f aca="false">M21+N21</f>
        <v>21019.0039947967</v>
      </c>
      <c r="Q21" s="13" t="n">
        <f aca="false">Q20+O21</f>
        <v>504.750998699171</v>
      </c>
      <c r="R21" s="13" t="n">
        <f aca="false">R20+B21</f>
        <v>19000</v>
      </c>
    </row>
    <row r="22" customFormat="false" ht="15" hidden="false" customHeight="false" outlineLevel="0" collapsed="false">
      <c r="A22" s="18" t="n">
        <v>20</v>
      </c>
      <c r="B22" s="13" t="n">
        <f aca="false">Inputs!$C$6</f>
        <v>1000</v>
      </c>
      <c r="C22" s="13" t="n">
        <f aca="false">F21</f>
        <v>21019.0039947967</v>
      </c>
      <c r="D22" s="13" t="n">
        <f aca="false">C22+B22</f>
        <v>22019.0039947967</v>
      </c>
      <c r="E22" s="13" t="n">
        <f aca="false">D22*Inputs!$C$7</f>
        <v>220.190039947967</v>
      </c>
      <c r="F22" s="13" t="n">
        <f aca="false">D22+E22</f>
        <v>22239.1940347447</v>
      </c>
      <c r="G22" s="13" t="n">
        <f aca="false">K21</f>
        <v>21562.9785366868</v>
      </c>
      <c r="H22" s="13" t="n">
        <f aca="false">G22+B22</f>
        <v>22562.9785366868</v>
      </c>
      <c r="I22" s="13" t="n">
        <f aca="false">H22*Inputs!$C$7</f>
        <v>225.629785366868</v>
      </c>
      <c r="J22" s="13" t="n">
        <f aca="false">H22*(Inputs!$C$8/12)</f>
        <v>56.4074463417171</v>
      </c>
      <c r="K22" s="13" t="n">
        <f aca="false">H22+I22+J22</f>
        <v>22845.0157683954</v>
      </c>
      <c r="L22" s="13" t="n">
        <f aca="false">P21</f>
        <v>21019.0039947967</v>
      </c>
      <c r="M22" s="13" t="n">
        <f aca="false">L22+B22</f>
        <v>22019.0039947967</v>
      </c>
      <c r="N22" s="13" t="n">
        <f aca="false">M22*Inputs!$C$7</f>
        <v>220.190039947967</v>
      </c>
      <c r="O22" s="13" t="n">
        <f aca="false">M22*(Inputs!$C$8/12)</f>
        <v>55.0475099869917</v>
      </c>
      <c r="P22" s="13" t="n">
        <f aca="false">M22+N22</f>
        <v>22239.1940347447</v>
      </c>
      <c r="Q22" s="13" t="n">
        <f aca="false">Q21+O22</f>
        <v>559.798508686162</v>
      </c>
      <c r="R22" s="13" t="n">
        <f aca="false">R21+B22</f>
        <v>20000</v>
      </c>
    </row>
    <row r="23" customFormat="false" ht="15" hidden="false" customHeight="false" outlineLevel="0" collapsed="false">
      <c r="A23" s="18" t="n">
        <v>21</v>
      </c>
      <c r="B23" s="13" t="n">
        <f aca="false">Inputs!$C$6</f>
        <v>1000</v>
      </c>
      <c r="C23" s="13" t="n">
        <f aca="false">F22</f>
        <v>22239.1940347447</v>
      </c>
      <c r="D23" s="13" t="n">
        <f aca="false">C23+B23</f>
        <v>23239.1940347447</v>
      </c>
      <c r="E23" s="13" t="n">
        <f aca="false">D23*Inputs!$C$7</f>
        <v>232.391940347447</v>
      </c>
      <c r="F23" s="13" t="n">
        <f aca="false">D23+E23</f>
        <v>23471.5859750921</v>
      </c>
      <c r="G23" s="13" t="n">
        <f aca="false">K22</f>
        <v>22845.0157683954</v>
      </c>
      <c r="H23" s="13" t="n">
        <f aca="false">G23+B23</f>
        <v>23845.0157683954</v>
      </c>
      <c r="I23" s="13" t="n">
        <f aca="false">H23*Inputs!$C$7</f>
        <v>238.450157683954</v>
      </c>
      <c r="J23" s="13" t="n">
        <f aca="false">H23*(Inputs!$C$8/12)</f>
        <v>59.6125394209886</v>
      </c>
      <c r="K23" s="13" t="n">
        <f aca="false">H23+I23+J23</f>
        <v>24143.0784655004</v>
      </c>
      <c r="L23" s="13" t="n">
        <f aca="false">P22</f>
        <v>22239.1940347447</v>
      </c>
      <c r="M23" s="13" t="n">
        <f aca="false">L23+B23</f>
        <v>23239.1940347447</v>
      </c>
      <c r="N23" s="13" t="n">
        <f aca="false">M23*Inputs!$C$7</f>
        <v>232.391940347447</v>
      </c>
      <c r="O23" s="13" t="n">
        <f aca="false">M23*(Inputs!$C$8/12)</f>
        <v>58.0979850868616</v>
      </c>
      <c r="P23" s="13" t="n">
        <f aca="false">M23+N23</f>
        <v>23471.5859750921</v>
      </c>
      <c r="Q23" s="13" t="n">
        <f aca="false">Q22+O23</f>
        <v>617.896493773024</v>
      </c>
      <c r="R23" s="13" t="n">
        <f aca="false">R22+B23</f>
        <v>21000</v>
      </c>
    </row>
    <row r="24" customFormat="false" ht="15" hidden="false" customHeight="false" outlineLevel="0" collapsed="false">
      <c r="A24" s="18" t="n">
        <v>22</v>
      </c>
      <c r="B24" s="13" t="n">
        <f aca="false">Inputs!$C$6</f>
        <v>1000</v>
      </c>
      <c r="C24" s="13" t="n">
        <f aca="false">F23</f>
        <v>23471.5859750921</v>
      </c>
      <c r="D24" s="13" t="n">
        <f aca="false">C24+B24</f>
        <v>24471.5859750921</v>
      </c>
      <c r="E24" s="13" t="n">
        <f aca="false">D24*Inputs!$C$7</f>
        <v>244.715859750921</v>
      </c>
      <c r="F24" s="13" t="n">
        <f aca="false">D24+E24</f>
        <v>24716.301834843</v>
      </c>
      <c r="G24" s="13" t="n">
        <f aca="false">K23</f>
        <v>24143.0784655004</v>
      </c>
      <c r="H24" s="13" t="n">
        <f aca="false">G24+B24</f>
        <v>25143.0784655004</v>
      </c>
      <c r="I24" s="13" t="n">
        <f aca="false">H24*Inputs!$C$7</f>
        <v>251.430784655004</v>
      </c>
      <c r="J24" s="13" t="n">
        <f aca="false">H24*(Inputs!$C$8/12)</f>
        <v>62.8576961637509</v>
      </c>
      <c r="K24" s="13" t="n">
        <f aca="false">H24+I24+J24</f>
        <v>25457.3669463191</v>
      </c>
      <c r="L24" s="13" t="n">
        <f aca="false">P23</f>
        <v>23471.5859750921</v>
      </c>
      <c r="M24" s="13" t="n">
        <f aca="false">L24+B24</f>
        <v>24471.5859750921</v>
      </c>
      <c r="N24" s="13" t="n">
        <f aca="false">M24*Inputs!$C$7</f>
        <v>244.715859750921</v>
      </c>
      <c r="O24" s="13" t="n">
        <f aca="false">M24*(Inputs!$C$8/12)</f>
        <v>61.1789649377303</v>
      </c>
      <c r="P24" s="13" t="n">
        <f aca="false">M24+N24</f>
        <v>24716.301834843</v>
      </c>
      <c r="Q24" s="13" t="n">
        <f aca="false">Q23+O24</f>
        <v>679.075458710754</v>
      </c>
      <c r="R24" s="13" t="n">
        <f aca="false">R23+B24</f>
        <v>22000</v>
      </c>
    </row>
    <row r="25" customFormat="false" ht="15" hidden="false" customHeight="false" outlineLevel="0" collapsed="false">
      <c r="A25" s="18" t="n">
        <v>23</v>
      </c>
      <c r="B25" s="13" t="n">
        <f aca="false">Inputs!$C$6</f>
        <v>1000</v>
      </c>
      <c r="C25" s="13" t="n">
        <f aca="false">F24</f>
        <v>24716.301834843</v>
      </c>
      <c r="D25" s="13" t="n">
        <f aca="false">C25+B25</f>
        <v>25716.301834843</v>
      </c>
      <c r="E25" s="13" t="n">
        <f aca="false">D25*Inputs!$C$7</f>
        <v>257.16301834843</v>
      </c>
      <c r="F25" s="13" t="n">
        <f aca="false">D25+E25</f>
        <v>25973.4648531915</v>
      </c>
      <c r="G25" s="13" t="n">
        <f aca="false">K24</f>
        <v>25457.3669463191</v>
      </c>
      <c r="H25" s="13" t="n">
        <f aca="false">G25+B25</f>
        <v>26457.3669463191</v>
      </c>
      <c r="I25" s="13" t="n">
        <f aca="false">H25*Inputs!$C$7</f>
        <v>264.573669463191</v>
      </c>
      <c r="J25" s="13" t="n">
        <f aca="false">H25*(Inputs!$C$8/12)</f>
        <v>66.1434173657978</v>
      </c>
      <c r="K25" s="13" t="n">
        <f aca="false">H25+I25+J25</f>
        <v>26788.0840331481</v>
      </c>
      <c r="L25" s="13" t="n">
        <f aca="false">P24</f>
        <v>24716.301834843</v>
      </c>
      <c r="M25" s="13" t="n">
        <f aca="false">L25+B25</f>
        <v>25716.301834843</v>
      </c>
      <c r="N25" s="13" t="n">
        <f aca="false">M25*Inputs!$C$7</f>
        <v>257.16301834843</v>
      </c>
      <c r="O25" s="13" t="n">
        <f aca="false">M25*(Inputs!$C$8/12)</f>
        <v>64.2907545871076</v>
      </c>
      <c r="P25" s="13" t="n">
        <f aca="false">M25+N25</f>
        <v>25973.4648531915</v>
      </c>
      <c r="Q25" s="13" t="n">
        <f aca="false">Q24+O25</f>
        <v>743.366213297862</v>
      </c>
      <c r="R25" s="13" t="n">
        <f aca="false">R24+B25</f>
        <v>23000</v>
      </c>
    </row>
    <row r="26" customFormat="false" ht="15" hidden="false" customHeight="false" outlineLevel="0" collapsed="false">
      <c r="A26" s="18" t="n">
        <v>24</v>
      </c>
      <c r="B26" s="13" t="n">
        <f aca="false">Inputs!$C$6</f>
        <v>1000</v>
      </c>
      <c r="C26" s="13" t="n">
        <f aca="false">F25</f>
        <v>25973.4648531915</v>
      </c>
      <c r="D26" s="13" t="n">
        <f aca="false">C26+B26</f>
        <v>26973.4648531915</v>
      </c>
      <c r="E26" s="13" t="n">
        <f aca="false">D26*Inputs!$C$7</f>
        <v>269.734648531915</v>
      </c>
      <c r="F26" s="13" t="n">
        <f aca="false">D26+E26</f>
        <v>27243.1995017234</v>
      </c>
      <c r="G26" s="13" t="n">
        <f aca="false">K25</f>
        <v>26788.0840331481</v>
      </c>
      <c r="H26" s="13" t="n">
        <f aca="false">G26+B26</f>
        <v>27788.0840331481</v>
      </c>
      <c r="I26" s="13" t="n">
        <f aca="false">H26*Inputs!$C$7</f>
        <v>277.880840331481</v>
      </c>
      <c r="J26" s="13" t="n">
        <f aca="false">H26*(Inputs!$C$8/12)</f>
        <v>69.4702100828703</v>
      </c>
      <c r="K26" s="13" t="n">
        <f aca="false">H26+I26+J26</f>
        <v>28135.4350835625</v>
      </c>
      <c r="L26" s="13" t="n">
        <f aca="false">P25</f>
        <v>25973.4648531915</v>
      </c>
      <c r="M26" s="13" t="n">
        <f aca="false">L26+B26</f>
        <v>26973.4648531915</v>
      </c>
      <c r="N26" s="13" t="n">
        <f aca="false">M26*Inputs!$C$7</f>
        <v>269.734648531915</v>
      </c>
      <c r="O26" s="13" t="n">
        <f aca="false">M26*(Inputs!$C$8/12)</f>
        <v>67.4336621329786</v>
      </c>
      <c r="P26" s="13" t="n">
        <f aca="false">M26+N26</f>
        <v>27243.1995017234</v>
      </c>
      <c r="Q26" s="13" t="n">
        <f aca="false">Q25+O26</f>
        <v>810.79987543084</v>
      </c>
      <c r="R26" s="13" t="n">
        <f aca="false">R25+B26</f>
        <v>24000</v>
      </c>
    </row>
    <row r="27" customFormat="false" ht="15" hidden="false" customHeight="false" outlineLevel="0" collapsed="false">
      <c r="A27" s="18" t="n">
        <v>25</v>
      </c>
      <c r="B27" s="13" t="n">
        <f aca="false">Inputs!$C$6</f>
        <v>1000</v>
      </c>
      <c r="C27" s="13" t="n">
        <f aca="false">F26</f>
        <v>27243.1995017234</v>
      </c>
      <c r="D27" s="13" t="n">
        <f aca="false">C27+B27</f>
        <v>28243.1995017234</v>
      </c>
      <c r="E27" s="13" t="n">
        <f aca="false">D27*Inputs!$C$7</f>
        <v>282.431995017234</v>
      </c>
      <c r="F27" s="13" t="n">
        <f aca="false">D27+E27</f>
        <v>28525.6314967406</v>
      </c>
      <c r="G27" s="13" t="n">
        <f aca="false">K26</f>
        <v>28135.4350835625</v>
      </c>
      <c r="H27" s="13" t="n">
        <f aca="false">G27+B27</f>
        <v>29135.4350835625</v>
      </c>
      <c r="I27" s="13" t="n">
        <f aca="false">H27*Inputs!$C$7</f>
        <v>291.354350835625</v>
      </c>
      <c r="J27" s="13" t="n">
        <f aca="false">H27*(Inputs!$C$8/12)</f>
        <v>72.8385877089062</v>
      </c>
      <c r="K27" s="13" t="n">
        <f aca="false">H27+I27+J27</f>
        <v>29499.628022107</v>
      </c>
      <c r="L27" s="13" t="n">
        <f aca="false">P26</f>
        <v>27243.1995017234</v>
      </c>
      <c r="M27" s="13" t="n">
        <f aca="false">L27+B27</f>
        <v>28243.1995017234</v>
      </c>
      <c r="N27" s="13" t="n">
        <f aca="false">M27*Inputs!$C$7</f>
        <v>282.431995017234</v>
      </c>
      <c r="O27" s="13" t="n">
        <f aca="false">M27*(Inputs!$C$8/12)</f>
        <v>70.6079987543084</v>
      </c>
      <c r="P27" s="13" t="n">
        <f aca="false">M27+N27</f>
        <v>28525.6314967406</v>
      </c>
      <c r="Q27" s="13" t="n">
        <f aca="false">Q26+O27</f>
        <v>881.407874185149</v>
      </c>
      <c r="R27" s="13" t="n">
        <f aca="false">R26+B27</f>
        <v>25000</v>
      </c>
    </row>
    <row r="28" customFormat="false" ht="15" hidden="false" customHeight="false" outlineLevel="0" collapsed="false">
      <c r="A28" s="18" t="n">
        <v>26</v>
      </c>
      <c r="B28" s="13" t="n">
        <f aca="false">Inputs!$C$6</f>
        <v>1000</v>
      </c>
      <c r="C28" s="13" t="n">
        <f aca="false">F27</f>
        <v>28525.6314967406</v>
      </c>
      <c r="D28" s="13" t="n">
        <f aca="false">C28+B28</f>
        <v>29525.6314967406</v>
      </c>
      <c r="E28" s="13" t="n">
        <f aca="false">D28*Inputs!$C$7</f>
        <v>295.256314967406</v>
      </c>
      <c r="F28" s="13" t="n">
        <f aca="false">D28+E28</f>
        <v>29820.887811708</v>
      </c>
      <c r="G28" s="13" t="n">
        <f aca="false">K27</f>
        <v>29499.628022107</v>
      </c>
      <c r="H28" s="13" t="n">
        <f aca="false">G28+B28</f>
        <v>30499.628022107</v>
      </c>
      <c r="I28" s="13" t="n">
        <f aca="false">H28*Inputs!$C$7</f>
        <v>304.99628022107</v>
      </c>
      <c r="J28" s="13" t="n">
        <f aca="false">H28*(Inputs!$C$8/12)</f>
        <v>76.2490700552675</v>
      </c>
      <c r="K28" s="13" t="n">
        <f aca="false">H28+I28+J28</f>
        <v>30880.8733723833</v>
      </c>
      <c r="L28" s="13" t="n">
        <f aca="false">P27</f>
        <v>28525.6314967406</v>
      </c>
      <c r="M28" s="13" t="n">
        <f aca="false">L28+B28</f>
        <v>29525.6314967406</v>
      </c>
      <c r="N28" s="13" t="n">
        <f aca="false">M28*Inputs!$C$7</f>
        <v>295.256314967406</v>
      </c>
      <c r="O28" s="13" t="n">
        <f aca="false">M28*(Inputs!$C$8/12)</f>
        <v>73.8140787418515</v>
      </c>
      <c r="P28" s="13" t="n">
        <f aca="false">M28+N28</f>
        <v>29820.887811708</v>
      </c>
      <c r="Q28" s="13" t="n">
        <f aca="false">Q27+O28</f>
        <v>955.221952927</v>
      </c>
      <c r="R28" s="13" t="n">
        <f aca="false">R27+B28</f>
        <v>26000</v>
      </c>
    </row>
    <row r="29" customFormat="false" ht="15" hidden="false" customHeight="false" outlineLevel="0" collapsed="false">
      <c r="A29" s="18" t="n">
        <v>27</v>
      </c>
      <c r="B29" s="13" t="n">
        <f aca="false">Inputs!$C$6</f>
        <v>1000</v>
      </c>
      <c r="C29" s="13" t="n">
        <f aca="false">F28</f>
        <v>29820.887811708</v>
      </c>
      <c r="D29" s="13" t="n">
        <f aca="false">C29+B29</f>
        <v>30820.887811708</v>
      </c>
      <c r="E29" s="13" t="n">
        <f aca="false">D29*Inputs!$C$7</f>
        <v>308.20887811708</v>
      </c>
      <c r="F29" s="13" t="n">
        <f aca="false">D29+E29</f>
        <v>31129.0966898251</v>
      </c>
      <c r="G29" s="13" t="n">
        <f aca="false">K28</f>
        <v>30880.8733723833</v>
      </c>
      <c r="H29" s="13" t="n">
        <f aca="false">G29+B29</f>
        <v>31880.8733723833</v>
      </c>
      <c r="I29" s="13" t="n">
        <f aca="false">H29*Inputs!$C$7</f>
        <v>318.808733723833</v>
      </c>
      <c r="J29" s="13" t="n">
        <f aca="false">H29*(Inputs!$C$8/12)</f>
        <v>79.7021834309583</v>
      </c>
      <c r="K29" s="13" t="n">
        <f aca="false">H29+I29+J29</f>
        <v>32279.3842895381</v>
      </c>
      <c r="L29" s="13" t="n">
        <f aca="false">P28</f>
        <v>29820.887811708</v>
      </c>
      <c r="M29" s="13" t="n">
        <f aca="false">L29+B29</f>
        <v>30820.887811708</v>
      </c>
      <c r="N29" s="13" t="n">
        <f aca="false">M29*Inputs!$C$7</f>
        <v>308.20887811708</v>
      </c>
      <c r="O29" s="13" t="n">
        <f aca="false">M29*(Inputs!$C$8/12)</f>
        <v>77.05221952927</v>
      </c>
      <c r="P29" s="13" t="n">
        <f aca="false">M29+N29</f>
        <v>31129.0966898251</v>
      </c>
      <c r="Q29" s="13" t="n">
        <f aca="false">Q28+O29</f>
        <v>1032.27417245627</v>
      </c>
      <c r="R29" s="13" t="n">
        <f aca="false">R28+B29</f>
        <v>27000</v>
      </c>
    </row>
    <row r="30" customFormat="false" ht="15" hidden="false" customHeight="false" outlineLevel="0" collapsed="false">
      <c r="A30" s="18" t="n">
        <v>28</v>
      </c>
      <c r="B30" s="13" t="n">
        <f aca="false">Inputs!$C$6</f>
        <v>1000</v>
      </c>
      <c r="C30" s="13" t="n">
        <f aca="false">F29</f>
        <v>31129.0966898251</v>
      </c>
      <c r="D30" s="13" t="n">
        <f aca="false">C30+B30</f>
        <v>32129.0966898251</v>
      </c>
      <c r="E30" s="13" t="n">
        <f aca="false">D30*Inputs!$C$7</f>
        <v>321.290966898251</v>
      </c>
      <c r="F30" s="13" t="n">
        <f aca="false">D30+E30</f>
        <v>32450.3876567233</v>
      </c>
      <c r="G30" s="13" t="n">
        <f aca="false">K29</f>
        <v>32279.3842895381</v>
      </c>
      <c r="H30" s="13" t="n">
        <f aca="false">G30+B30</f>
        <v>33279.3842895381</v>
      </c>
      <c r="I30" s="13" t="n">
        <f aca="false">H30*Inputs!$C$7</f>
        <v>332.793842895381</v>
      </c>
      <c r="J30" s="13" t="n">
        <f aca="false">H30*(Inputs!$C$8/12)</f>
        <v>83.1984607238453</v>
      </c>
      <c r="K30" s="13" t="n">
        <f aca="false">H30+I30+J30</f>
        <v>33695.3765931573</v>
      </c>
      <c r="L30" s="13" t="n">
        <f aca="false">P29</f>
        <v>31129.0966898251</v>
      </c>
      <c r="M30" s="13" t="n">
        <f aca="false">L30+B30</f>
        <v>32129.0966898251</v>
      </c>
      <c r="N30" s="13" t="n">
        <f aca="false">M30*Inputs!$C$7</f>
        <v>321.290966898251</v>
      </c>
      <c r="O30" s="13" t="n">
        <f aca="false">M30*(Inputs!$C$8/12)</f>
        <v>80.3227417245627</v>
      </c>
      <c r="P30" s="13" t="n">
        <f aca="false">M30+N30</f>
        <v>32450.3876567233</v>
      </c>
      <c r="Q30" s="13" t="n">
        <f aca="false">Q29+O30</f>
        <v>1112.59691418083</v>
      </c>
      <c r="R30" s="13" t="n">
        <f aca="false">R29+B30</f>
        <v>28000</v>
      </c>
    </row>
    <row r="31" customFormat="false" ht="15" hidden="false" customHeight="false" outlineLevel="0" collapsed="false">
      <c r="A31" s="18" t="n">
        <v>29</v>
      </c>
      <c r="B31" s="13" t="n">
        <f aca="false">Inputs!$C$6</f>
        <v>1000</v>
      </c>
      <c r="C31" s="13" t="n">
        <f aca="false">F30</f>
        <v>32450.3876567233</v>
      </c>
      <c r="D31" s="13" t="n">
        <f aca="false">C31+B31</f>
        <v>33450.3876567233</v>
      </c>
      <c r="E31" s="13" t="n">
        <f aca="false">D31*Inputs!$C$7</f>
        <v>334.503876567233</v>
      </c>
      <c r="F31" s="13" t="n">
        <f aca="false">D31+E31</f>
        <v>33784.8915332906</v>
      </c>
      <c r="G31" s="13" t="n">
        <f aca="false">K30</f>
        <v>33695.3765931573</v>
      </c>
      <c r="H31" s="13" t="n">
        <f aca="false">G31+B31</f>
        <v>34695.3765931573</v>
      </c>
      <c r="I31" s="13" t="n">
        <f aca="false">H31*Inputs!$C$7</f>
        <v>346.953765931573</v>
      </c>
      <c r="J31" s="13" t="n">
        <f aca="false">H31*(Inputs!$C$8/12)</f>
        <v>86.7384414828933</v>
      </c>
      <c r="K31" s="13" t="n">
        <f aca="false">H31+I31+J31</f>
        <v>35129.0688005718</v>
      </c>
      <c r="L31" s="13" t="n">
        <f aca="false">P30</f>
        <v>32450.3876567233</v>
      </c>
      <c r="M31" s="13" t="n">
        <f aca="false">L31+B31</f>
        <v>33450.3876567233</v>
      </c>
      <c r="N31" s="13" t="n">
        <f aca="false">M31*Inputs!$C$7</f>
        <v>334.503876567233</v>
      </c>
      <c r="O31" s="13" t="n">
        <f aca="false">M31*(Inputs!$C$8/12)</f>
        <v>83.6259691418083</v>
      </c>
      <c r="P31" s="13" t="n">
        <f aca="false">M31+N31</f>
        <v>33784.8915332906</v>
      </c>
      <c r="Q31" s="13" t="n">
        <f aca="false">Q30+O31</f>
        <v>1196.22288332264</v>
      </c>
      <c r="R31" s="13" t="n">
        <f aca="false">R30+B31</f>
        <v>29000</v>
      </c>
    </row>
    <row r="32" customFormat="false" ht="15" hidden="false" customHeight="false" outlineLevel="0" collapsed="false">
      <c r="A32" s="18" t="n">
        <v>30</v>
      </c>
      <c r="B32" s="13" t="n">
        <f aca="false">Inputs!$C$6</f>
        <v>1000</v>
      </c>
      <c r="C32" s="13" t="n">
        <f aca="false">F31</f>
        <v>33784.8915332906</v>
      </c>
      <c r="D32" s="13" t="n">
        <f aca="false">C32+B32</f>
        <v>34784.8915332906</v>
      </c>
      <c r="E32" s="13" t="n">
        <f aca="false">D32*Inputs!$C$7</f>
        <v>347.848915332906</v>
      </c>
      <c r="F32" s="13" t="n">
        <f aca="false">D32+E32</f>
        <v>35132.7404486235</v>
      </c>
      <c r="G32" s="13" t="n">
        <f aca="false">K31</f>
        <v>35129.0688005718</v>
      </c>
      <c r="H32" s="13" t="n">
        <f aca="false">G32+B32</f>
        <v>36129.0688005718</v>
      </c>
      <c r="I32" s="13" t="n">
        <f aca="false">H32*Inputs!$C$7</f>
        <v>361.290688005718</v>
      </c>
      <c r="J32" s="13" t="n">
        <f aca="false">H32*(Inputs!$C$8/12)</f>
        <v>90.3226720014295</v>
      </c>
      <c r="K32" s="13" t="n">
        <f aca="false">H32+I32+J32</f>
        <v>36580.682160579</v>
      </c>
      <c r="L32" s="13" t="n">
        <f aca="false">P31</f>
        <v>33784.8915332906</v>
      </c>
      <c r="M32" s="13" t="n">
        <f aca="false">L32+B32</f>
        <v>34784.8915332906</v>
      </c>
      <c r="N32" s="13" t="n">
        <f aca="false">M32*Inputs!$C$7</f>
        <v>347.848915332906</v>
      </c>
      <c r="O32" s="13" t="n">
        <f aca="false">M32*(Inputs!$C$8/12)</f>
        <v>86.9622288332264</v>
      </c>
      <c r="P32" s="13" t="n">
        <f aca="false">M32+N32</f>
        <v>35132.7404486235</v>
      </c>
      <c r="Q32" s="13" t="n">
        <f aca="false">Q31+O32</f>
        <v>1283.18511215587</v>
      </c>
      <c r="R32" s="13" t="n">
        <f aca="false">R31+B32</f>
        <v>30000</v>
      </c>
    </row>
    <row r="33" customFormat="false" ht="15" hidden="false" customHeight="false" outlineLevel="0" collapsed="false">
      <c r="A33" s="18" t="n">
        <v>31</v>
      </c>
      <c r="B33" s="13" t="n">
        <f aca="false">Inputs!$C$6</f>
        <v>1000</v>
      </c>
      <c r="C33" s="13" t="n">
        <f aca="false">F32</f>
        <v>35132.7404486235</v>
      </c>
      <c r="D33" s="13" t="n">
        <f aca="false">C33+B33</f>
        <v>36132.7404486235</v>
      </c>
      <c r="E33" s="13" t="n">
        <f aca="false">D33*Inputs!$C$7</f>
        <v>361.327404486235</v>
      </c>
      <c r="F33" s="13" t="n">
        <f aca="false">D33+E33</f>
        <v>36494.0678531097</v>
      </c>
      <c r="G33" s="13" t="n">
        <f aca="false">K32</f>
        <v>36580.682160579</v>
      </c>
      <c r="H33" s="13" t="n">
        <f aca="false">G33+B33</f>
        <v>37580.682160579</v>
      </c>
      <c r="I33" s="13" t="n">
        <f aca="false">H33*Inputs!$C$7</f>
        <v>375.80682160579</v>
      </c>
      <c r="J33" s="13" t="n">
        <f aca="false">H33*(Inputs!$C$8/12)</f>
        <v>93.9517054014474</v>
      </c>
      <c r="K33" s="13" t="n">
        <f aca="false">H33+I33+J33</f>
        <v>38050.4406875862</v>
      </c>
      <c r="L33" s="13" t="n">
        <f aca="false">P32</f>
        <v>35132.7404486235</v>
      </c>
      <c r="M33" s="13" t="n">
        <f aca="false">L33+B33</f>
        <v>36132.7404486235</v>
      </c>
      <c r="N33" s="13" t="n">
        <f aca="false">M33*Inputs!$C$7</f>
        <v>361.327404486235</v>
      </c>
      <c r="O33" s="13" t="n">
        <f aca="false">M33*(Inputs!$C$8/12)</f>
        <v>90.3318511215587</v>
      </c>
      <c r="P33" s="13" t="n">
        <f aca="false">M33+N33</f>
        <v>36494.0678531097</v>
      </c>
      <c r="Q33" s="13" t="n">
        <f aca="false">Q32+O33</f>
        <v>1373.51696327743</v>
      </c>
      <c r="R33" s="13" t="n">
        <f aca="false">R32+B33</f>
        <v>31000</v>
      </c>
    </row>
    <row r="34" customFormat="false" ht="15" hidden="false" customHeight="false" outlineLevel="0" collapsed="false">
      <c r="A34" s="18" t="n">
        <v>32</v>
      </c>
      <c r="B34" s="13" t="n">
        <f aca="false">Inputs!$C$6</f>
        <v>1000</v>
      </c>
      <c r="C34" s="13" t="n">
        <f aca="false">F33</f>
        <v>36494.0678531097</v>
      </c>
      <c r="D34" s="13" t="n">
        <f aca="false">C34+B34</f>
        <v>37494.0678531097</v>
      </c>
      <c r="E34" s="13" t="n">
        <f aca="false">D34*Inputs!$C$7</f>
        <v>374.940678531097</v>
      </c>
      <c r="F34" s="13" t="n">
        <f aca="false">D34+E34</f>
        <v>37869.0085316408</v>
      </c>
      <c r="G34" s="13" t="n">
        <f aca="false">K33</f>
        <v>38050.4406875862</v>
      </c>
      <c r="H34" s="13" t="n">
        <f aca="false">G34+B34</f>
        <v>39050.4406875862</v>
      </c>
      <c r="I34" s="13" t="n">
        <f aca="false">H34*Inputs!$C$7</f>
        <v>390.504406875862</v>
      </c>
      <c r="J34" s="13" t="n">
        <f aca="false">H34*(Inputs!$C$8/12)</f>
        <v>97.6261017189655</v>
      </c>
      <c r="K34" s="13" t="n">
        <f aca="false">H34+I34+J34</f>
        <v>39538.571196181</v>
      </c>
      <c r="L34" s="13" t="n">
        <f aca="false">P33</f>
        <v>36494.0678531097</v>
      </c>
      <c r="M34" s="13" t="n">
        <f aca="false">L34+B34</f>
        <v>37494.0678531097</v>
      </c>
      <c r="N34" s="13" t="n">
        <f aca="false">M34*Inputs!$C$7</f>
        <v>374.940678531097</v>
      </c>
      <c r="O34" s="13" t="n">
        <f aca="false">M34*(Inputs!$C$8/12)</f>
        <v>93.7351696327743</v>
      </c>
      <c r="P34" s="13" t="n">
        <f aca="false">M34+N34</f>
        <v>37869.0085316408</v>
      </c>
      <c r="Q34" s="13" t="n">
        <f aca="false">Q33+O34</f>
        <v>1467.2521329102</v>
      </c>
      <c r="R34" s="13" t="n">
        <f aca="false">R33+B34</f>
        <v>32000</v>
      </c>
    </row>
    <row r="35" customFormat="false" ht="15" hidden="false" customHeight="false" outlineLevel="0" collapsed="false">
      <c r="A35" s="18" t="n">
        <v>33</v>
      </c>
      <c r="B35" s="13" t="n">
        <f aca="false">Inputs!$C$6</f>
        <v>1000</v>
      </c>
      <c r="C35" s="13" t="n">
        <f aca="false">F34</f>
        <v>37869.0085316408</v>
      </c>
      <c r="D35" s="13" t="n">
        <f aca="false">C35+B35</f>
        <v>38869.0085316408</v>
      </c>
      <c r="E35" s="13" t="n">
        <f aca="false">D35*Inputs!$C$7</f>
        <v>388.690085316408</v>
      </c>
      <c r="F35" s="13" t="n">
        <f aca="false">D35+E35</f>
        <v>39257.6986169572</v>
      </c>
      <c r="G35" s="13" t="n">
        <f aca="false">K34</f>
        <v>39538.571196181</v>
      </c>
      <c r="H35" s="13" t="n">
        <f aca="false">G35+B35</f>
        <v>40538.571196181</v>
      </c>
      <c r="I35" s="13" t="n">
        <f aca="false">H35*Inputs!$C$7</f>
        <v>405.38571196181</v>
      </c>
      <c r="J35" s="13" t="n">
        <f aca="false">H35*(Inputs!$C$8/12)</f>
        <v>101.346427990453</v>
      </c>
      <c r="K35" s="13" t="n">
        <f aca="false">H35+I35+J35</f>
        <v>41045.3033361333</v>
      </c>
      <c r="L35" s="13" t="n">
        <f aca="false">P34</f>
        <v>37869.0085316408</v>
      </c>
      <c r="M35" s="13" t="n">
        <f aca="false">L35+B35</f>
        <v>38869.0085316408</v>
      </c>
      <c r="N35" s="13" t="n">
        <f aca="false">M35*Inputs!$C$7</f>
        <v>388.690085316408</v>
      </c>
      <c r="O35" s="13" t="n">
        <f aca="false">M35*(Inputs!$C$8/12)</f>
        <v>97.172521329102</v>
      </c>
      <c r="P35" s="13" t="n">
        <f aca="false">M35+N35</f>
        <v>39257.6986169572</v>
      </c>
      <c r="Q35" s="13" t="n">
        <f aca="false">Q34+O35</f>
        <v>1564.4246542393</v>
      </c>
      <c r="R35" s="13" t="n">
        <f aca="false">R34+B35</f>
        <v>33000</v>
      </c>
    </row>
    <row r="36" customFormat="false" ht="15" hidden="false" customHeight="false" outlineLevel="0" collapsed="false">
      <c r="A36" s="18" t="n">
        <v>34</v>
      </c>
      <c r="B36" s="13" t="n">
        <f aca="false">Inputs!$C$6</f>
        <v>1000</v>
      </c>
      <c r="C36" s="13" t="n">
        <f aca="false">F35</f>
        <v>39257.6986169572</v>
      </c>
      <c r="D36" s="13" t="n">
        <f aca="false">C36+B36</f>
        <v>40257.6986169572</v>
      </c>
      <c r="E36" s="13" t="n">
        <f aca="false">D36*Inputs!$C$7</f>
        <v>402.576986169572</v>
      </c>
      <c r="F36" s="13" t="n">
        <f aca="false">D36+E36</f>
        <v>40660.2756031268</v>
      </c>
      <c r="G36" s="13" t="n">
        <f aca="false">K35</f>
        <v>41045.3033361333</v>
      </c>
      <c r="H36" s="13" t="n">
        <f aca="false">G36+B36</f>
        <v>42045.3033361333</v>
      </c>
      <c r="I36" s="13" t="n">
        <f aca="false">H36*Inputs!$C$7</f>
        <v>420.453033361333</v>
      </c>
      <c r="J36" s="13" t="n">
        <f aca="false">H36*(Inputs!$C$8/12)</f>
        <v>105.113258340333</v>
      </c>
      <c r="K36" s="13" t="n">
        <f aca="false">H36+I36+J36</f>
        <v>42570.8696278349</v>
      </c>
      <c r="L36" s="13" t="n">
        <f aca="false">P35</f>
        <v>39257.6986169572</v>
      </c>
      <c r="M36" s="13" t="n">
        <f aca="false">L36+B36</f>
        <v>40257.6986169572</v>
      </c>
      <c r="N36" s="13" t="n">
        <f aca="false">M36*Inputs!$C$7</f>
        <v>402.576986169572</v>
      </c>
      <c r="O36" s="13" t="n">
        <f aca="false">M36*(Inputs!$C$8/12)</f>
        <v>100.644246542393</v>
      </c>
      <c r="P36" s="13" t="n">
        <f aca="false">M36+N36</f>
        <v>40660.2756031268</v>
      </c>
      <c r="Q36" s="13" t="n">
        <f aca="false">Q35+O36</f>
        <v>1665.0689007817</v>
      </c>
      <c r="R36" s="13" t="n">
        <f aca="false">R35+B36</f>
        <v>34000</v>
      </c>
    </row>
    <row r="37" customFormat="false" ht="15" hidden="false" customHeight="false" outlineLevel="0" collapsed="false">
      <c r="A37" s="18" t="n">
        <v>35</v>
      </c>
      <c r="B37" s="13" t="n">
        <f aca="false">Inputs!$C$6</f>
        <v>1000</v>
      </c>
      <c r="C37" s="13" t="n">
        <f aca="false">F36</f>
        <v>40660.2756031268</v>
      </c>
      <c r="D37" s="13" t="n">
        <f aca="false">C37+B37</f>
        <v>41660.2756031268</v>
      </c>
      <c r="E37" s="13" t="n">
        <f aca="false">D37*Inputs!$C$7</f>
        <v>416.602756031268</v>
      </c>
      <c r="F37" s="13" t="n">
        <f aca="false">D37+E37</f>
        <v>42076.8783591581</v>
      </c>
      <c r="G37" s="13" t="n">
        <f aca="false">K36</f>
        <v>42570.8696278349</v>
      </c>
      <c r="H37" s="13" t="n">
        <f aca="false">G37+B37</f>
        <v>43570.8696278349</v>
      </c>
      <c r="I37" s="13" t="n">
        <f aca="false">H37*Inputs!$C$7</f>
        <v>435.708696278349</v>
      </c>
      <c r="J37" s="13" t="n">
        <f aca="false">H37*(Inputs!$C$8/12)</f>
        <v>108.927174069587</v>
      </c>
      <c r="K37" s="13" t="n">
        <f aca="false">H37+I37+J37</f>
        <v>44115.5054981829</v>
      </c>
      <c r="L37" s="13" t="n">
        <f aca="false">P36</f>
        <v>40660.2756031268</v>
      </c>
      <c r="M37" s="13" t="n">
        <f aca="false">L37+B37</f>
        <v>41660.2756031268</v>
      </c>
      <c r="N37" s="13" t="n">
        <f aca="false">M37*Inputs!$C$7</f>
        <v>416.602756031268</v>
      </c>
      <c r="O37" s="13" t="n">
        <f aca="false">M37*(Inputs!$C$8/12)</f>
        <v>104.150689007817</v>
      </c>
      <c r="P37" s="13" t="n">
        <f aca="false">M37+N37</f>
        <v>42076.8783591581</v>
      </c>
      <c r="Q37" s="13" t="n">
        <f aca="false">Q36+O37</f>
        <v>1769.21958978951</v>
      </c>
      <c r="R37" s="13" t="n">
        <f aca="false">R36+B37</f>
        <v>35000</v>
      </c>
    </row>
    <row r="38" customFormat="false" ht="15" hidden="false" customHeight="false" outlineLevel="0" collapsed="false">
      <c r="A38" s="18" t="n">
        <v>36</v>
      </c>
      <c r="B38" s="13" t="n">
        <f aca="false">Inputs!$C$6</f>
        <v>1000</v>
      </c>
      <c r="C38" s="13" t="n">
        <f aca="false">F37</f>
        <v>42076.8783591581</v>
      </c>
      <c r="D38" s="13" t="n">
        <f aca="false">C38+B38</f>
        <v>43076.8783591581</v>
      </c>
      <c r="E38" s="13" t="n">
        <f aca="false">D38*Inputs!$C$7</f>
        <v>430.768783591581</v>
      </c>
      <c r="F38" s="13" t="n">
        <f aca="false">D38+E38</f>
        <v>43507.6471427496</v>
      </c>
      <c r="G38" s="13" t="n">
        <f aca="false">K37</f>
        <v>44115.5054981829</v>
      </c>
      <c r="H38" s="13" t="n">
        <f aca="false">G38+B38</f>
        <v>45115.5054981829</v>
      </c>
      <c r="I38" s="13" t="n">
        <f aca="false">H38*Inputs!$C$7</f>
        <v>451.155054981829</v>
      </c>
      <c r="J38" s="13" t="n">
        <f aca="false">H38*(Inputs!$C$8/12)</f>
        <v>112.788763745457</v>
      </c>
      <c r="K38" s="13" t="n">
        <f aca="false">H38+I38+J38</f>
        <v>45679.4493169102</v>
      </c>
      <c r="L38" s="13" t="n">
        <f aca="false">P37</f>
        <v>42076.8783591581</v>
      </c>
      <c r="M38" s="13" t="n">
        <f aca="false">L38+B38</f>
        <v>43076.8783591581</v>
      </c>
      <c r="N38" s="13" t="n">
        <f aca="false">M38*Inputs!$C$7</f>
        <v>430.768783591581</v>
      </c>
      <c r="O38" s="13" t="n">
        <f aca="false">M38*(Inputs!$C$8/12)</f>
        <v>107.692195897895</v>
      </c>
      <c r="P38" s="13" t="n">
        <f aca="false">M38+N38</f>
        <v>43507.6471427496</v>
      </c>
      <c r="Q38" s="13" t="n">
        <f aca="false">Q37+O38</f>
        <v>1876.91178568741</v>
      </c>
      <c r="R38" s="13" t="n">
        <f aca="false">R37+B38</f>
        <v>36000</v>
      </c>
    </row>
    <row r="39" customFormat="false" ht="15" hidden="false" customHeight="false" outlineLevel="0" collapsed="false">
      <c r="A39" s="18" t="n">
        <v>37</v>
      </c>
      <c r="B39" s="13" t="n">
        <f aca="false">Inputs!$C$6</f>
        <v>1000</v>
      </c>
      <c r="C39" s="13" t="n">
        <f aca="false">F38</f>
        <v>43507.6471427496</v>
      </c>
      <c r="D39" s="13" t="n">
        <f aca="false">C39+B39</f>
        <v>44507.6471427496</v>
      </c>
      <c r="E39" s="13" t="n">
        <f aca="false">D39*Inputs!$C$7</f>
        <v>445.076471427497</v>
      </c>
      <c r="F39" s="13" t="n">
        <f aca="false">D39+E39</f>
        <v>44952.7236141771</v>
      </c>
      <c r="G39" s="13" t="n">
        <f aca="false">K38</f>
        <v>45679.4493169102</v>
      </c>
      <c r="H39" s="13" t="n">
        <f aca="false">G39+B39</f>
        <v>46679.4493169102</v>
      </c>
      <c r="I39" s="13" t="n">
        <f aca="false">H39*Inputs!$C$7</f>
        <v>466.794493169102</v>
      </c>
      <c r="J39" s="13" t="n">
        <f aca="false">H39*(Inputs!$C$8/12)</f>
        <v>116.698623292275</v>
      </c>
      <c r="K39" s="13" t="n">
        <f aca="false">H39+I39+J39</f>
        <v>47262.9424333715</v>
      </c>
      <c r="L39" s="13" t="n">
        <f aca="false">P38</f>
        <v>43507.6471427496</v>
      </c>
      <c r="M39" s="13" t="n">
        <f aca="false">L39+B39</f>
        <v>44507.6471427496</v>
      </c>
      <c r="N39" s="13" t="n">
        <f aca="false">M39*Inputs!$C$7</f>
        <v>445.076471427497</v>
      </c>
      <c r="O39" s="13" t="n">
        <f aca="false">M39*(Inputs!$C$8/12)</f>
        <v>111.269117856874</v>
      </c>
      <c r="P39" s="13" t="n">
        <f aca="false">M39+N39</f>
        <v>44952.7236141771</v>
      </c>
      <c r="Q39" s="13" t="n">
        <f aca="false">Q38+O39</f>
        <v>1988.18090354428</v>
      </c>
      <c r="R39" s="13" t="n">
        <f aca="false">R38+B39</f>
        <v>37000</v>
      </c>
    </row>
    <row r="40" customFormat="false" ht="15" hidden="false" customHeight="false" outlineLevel="0" collapsed="false">
      <c r="A40" s="18" t="n">
        <v>38</v>
      </c>
      <c r="B40" s="13" t="n">
        <f aca="false">Inputs!$C$6</f>
        <v>1000</v>
      </c>
      <c r="C40" s="13" t="n">
        <f aca="false">F39</f>
        <v>44952.7236141771</v>
      </c>
      <c r="D40" s="13" t="n">
        <f aca="false">C40+B40</f>
        <v>45952.7236141771</v>
      </c>
      <c r="E40" s="13" t="n">
        <f aca="false">D40*Inputs!$C$7</f>
        <v>459.527236141771</v>
      </c>
      <c r="F40" s="13" t="n">
        <f aca="false">D40+E40</f>
        <v>46412.2508503189</v>
      </c>
      <c r="G40" s="13" t="n">
        <f aca="false">K39</f>
        <v>47262.9424333715</v>
      </c>
      <c r="H40" s="13" t="n">
        <f aca="false">G40+B40</f>
        <v>48262.9424333715</v>
      </c>
      <c r="I40" s="13" t="n">
        <f aca="false">H40*Inputs!$C$7</f>
        <v>482.629424333715</v>
      </c>
      <c r="J40" s="13" t="n">
        <f aca="false">H40*(Inputs!$C$8/12)</f>
        <v>120.657356083429</v>
      </c>
      <c r="K40" s="13" t="n">
        <f aca="false">H40+I40+J40</f>
        <v>48866.2292137887</v>
      </c>
      <c r="L40" s="13" t="n">
        <f aca="false">P39</f>
        <v>44952.7236141771</v>
      </c>
      <c r="M40" s="13" t="n">
        <f aca="false">L40+B40</f>
        <v>45952.7236141771</v>
      </c>
      <c r="N40" s="13" t="n">
        <f aca="false">M40*Inputs!$C$7</f>
        <v>459.527236141771</v>
      </c>
      <c r="O40" s="13" t="n">
        <f aca="false">M40*(Inputs!$C$8/12)</f>
        <v>114.881809035443</v>
      </c>
      <c r="P40" s="13" t="n">
        <f aca="false">M40+N40</f>
        <v>46412.2508503189</v>
      </c>
      <c r="Q40" s="13" t="n">
        <f aca="false">Q39+O40</f>
        <v>2103.06271257973</v>
      </c>
      <c r="R40" s="13" t="n">
        <f aca="false">R39+B40</f>
        <v>38000</v>
      </c>
    </row>
    <row r="41" customFormat="false" ht="15" hidden="false" customHeight="false" outlineLevel="0" collapsed="false">
      <c r="A41" s="18" t="n">
        <v>39</v>
      </c>
      <c r="B41" s="13" t="n">
        <f aca="false">Inputs!$C$6</f>
        <v>1000</v>
      </c>
      <c r="C41" s="13" t="n">
        <f aca="false">F40</f>
        <v>46412.2508503189</v>
      </c>
      <c r="D41" s="13" t="n">
        <f aca="false">C41+B41</f>
        <v>47412.2508503189</v>
      </c>
      <c r="E41" s="13" t="n">
        <f aca="false">D41*Inputs!$C$7</f>
        <v>474.122508503189</v>
      </c>
      <c r="F41" s="13" t="n">
        <f aca="false">D41+E41</f>
        <v>47886.3733588221</v>
      </c>
      <c r="G41" s="13" t="n">
        <f aca="false">K40</f>
        <v>48866.2292137887</v>
      </c>
      <c r="H41" s="13" t="n">
        <f aca="false">G41+B41</f>
        <v>49866.2292137887</v>
      </c>
      <c r="I41" s="13" t="n">
        <f aca="false">H41*Inputs!$C$7</f>
        <v>498.662292137887</v>
      </c>
      <c r="J41" s="13" t="n">
        <f aca="false">H41*(Inputs!$C$8/12)</f>
        <v>124.665573034472</v>
      </c>
      <c r="K41" s="13" t="n">
        <f aca="false">H41+I41+J41</f>
        <v>50489.557078961</v>
      </c>
      <c r="L41" s="13" t="n">
        <f aca="false">P40</f>
        <v>46412.2508503189</v>
      </c>
      <c r="M41" s="13" t="n">
        <f aca="false">L41+B41</f>
        <v>47412.2508503189</v>
      </c>
      <c r="N41" s="13" t="n">
        <f aca="false">M41*Inputs!$C$7</f>
        <v>474.122508503189</v>
      </c>
      <c r="O41" s="13" t="n">
        <f aca="false">M41*(Inputs!$C$8/12)</f>
        <v>118.530627125797</v>
      </c>
      <c r="P41" s="13" t="n">
        <f aca="false">M41+N41</f>
        <v>47886.3733588221</v>
      </c>
      <c r="Q41" s="13" t="n">
        <f aca="false">Q40+O41</f>
        <v>2221.59333970552</v>
      </c>
      <c r="R41" s="13" t="n">
        <f aca="false">R40+B41</f>
        <v>39000</v>
      </c>
    </row>
    <row r="42" customFormat="false" ht="15" hidden="false" customHeight="false" outlineLevel="0" collapsed="false">
      <c r="A42" s="18" t="n">
        <v>40</v>
      </c>
      <c r="B42" s="13" t="n">
        <f aca="false">Inputs!$C$6</f>
        <v>1000</v>
      </c>
      <c r="C42" s="13" t="n">
        <f aca="false">F41</f>
        <v>47886.3733588221</v>
      </c>
      <c r="D42" s="13" t="n">
        <f aca="false">C42+B42</f>
        <v>48886.3733588221</v>
      </c>
      <c r="E42" s="13" t="n">
        <f aca="false">D42*Inputs!$C$7</f>
        <v>488.863733588221</v>
      </c>
      <c r="F42" s="13" t="n">
        <f aca="false">D42+E42</f>
        <v>49375.2370924103</v>
      </c>
      <c r="G42" s="13" t="n">
        <f aca="false">K41</f>
        <v>50489.557078961</v>
      </c>
      <c r="H42" s="13" t="n">
        <f aca="false">G42+B42</f>
        <v>51489.557078961</v>
      </c>
      <c r="I42" s="13" t="n">
        <f aca="false">H42*Inputs!$C$7</f>
        <v>514.895570789611</v>
      </c>
      <c r="J42" s="13" t="n">
        <f aca="false">H42*(Inputs!$C$8/12)</f>
        <v>128.723892697403</v>
      </c>
      <c r="K42" s="13" t="n">
        <f aca="false">H42+I42+J42</f>
        <v>52133.1765424481</v>
      </c>
      <c r="L42" s="13" t="n">
        <f aca="false">P41</f>
        <v>47886.3733588221</v>
      </c>
      <c r="M42" s="13" t="n">
        <f aca="false">L42+B42</f>
        <v>48886.3733588221</v>
      </c>
      <c r="N42" s="13" t="n">
        <f aca="false">M42*Inputs!$C$7</f>
        <v>488.863733588221</v>
      </c>
      <c r="O42" s="13" t="n">
        <f aca="false">M42*(Inputs!$C$8/12)</f>
        <v>122.215933397055</v>
      </c>
      <c r="P42" s="13" t="n">
        <f aca="false">M42+N42</f>
        <v>49375.2370924103</v>
      </c>
      <c r="Q42" s="13" t="n">
        <f aca="false">Q41+O42</f>
        <v>2343.80927310258</v>
      </c>
      <c r="R42" s="13" t="n">
        <f aca="false">R41+B42</f>
        <v>40000</v>
      </c>
    </row>
    <row r="43" customFormat="false" ht="15" hidden="false" customHeight="false" outlineLevel="0" collapsed="false">
      <c r="A43" s="18" t="n">
        <v>41</v>
      </c>
      <c r="B43" s="13" t="n">
        <f aca="false">Inputs!$C$6</f>
        <v>1000</v>
      </c>
      <c r="C43" s="13" t="n">
        <f aca="false">F42</f>
        <v>49375.2370924103</v>
      </c>
      <c r="D43" s="13" t="n">
        <f aca="false">C43+B43</f>
        <v>50375.2370924103</v>
      </c>
      <c r="E43" s="13" t="n">
        <f aca="false">D43*Inputs!$C$7</f>
        <v>503.752370924103</v>
      </c>
      <c r="F43" s="13" t="n">
        <f aca="false">D43+E43</f>
        <v>50878.9894633344</v>
      </c>
      <c r="G43" s="13" t="n">
        <f aca="false">K42</f>
        <v>52133.1765424481</v>
      </c>
      <c r="H43" s="13" t="n">
        <f aca="false">G43+B43</f>
        <v>53133.1765424481</v>
      </c>
      <c r="I43" s="13" t="n">
        <f aca="false">H43*Inputs!$C$7</f>
        <v>531.331765424481</v>
      </c>
      <c r="J43" s="13" t="n">
        <f aca="false">H43*(Inputs!$C$8/12)</f>
        <v>132.83294135612</v>
      </c>
      <c r="K43" s="13" t="n">
        <f aca="false">H43+I43+J43</f>
        <v>53797.3412492287</v>
      </c>
      <c r="L43" s="13" t="n">
        <f aca="false">P42</f>
        <v>49375.2370924103</v>
      </c>
      <c r="M43" s="13" t="n">
        <f aca="false">L43+B43</f>
        <v>50375.2370924103</v>
      </c>
      <c r="N43" s="13" t="n">
        <f aca="false">M43*Inputs!$C$7</f>
        <v>503.752370924103</v>
      </c>
      <c r="O43" s="13" t="n">
        <f aca="false">M43*(Inputs!$C$8/12)</f>
        <v>125.938092731026</v>
      </c>
      <c r="P43" s="13" t="n">
        <f aca="false">M43+N43</f>
        <v>50878.9894633344</v>
      </c>
      <c r="Q43" s="13" t="n">
        <f aca="false">Q42+O43</f>
        <v>2469.7473658336</v>
      </c>
      <c r="R43" s="13" t="n">
        <f aca="false">R42+B43</f>
        <v>41000</v>
      </c>
    </row>
    <row r="44" customFormat="false" ht="15" hidden="false" customHeight="false" outlineLevel="0" collapsed="false">
      <c r="A44" s="18" t="n">
        <v>42</v>
      </c>
      <c r="B44" s="13" t="n">
        <f aca="false">Inputs!$C$6</f>
        <v>1000</v>
      </c>
      <c r="C44" s="13" t="n">
        <f aca="false">F43</f>
        <v>50878.9894633344</v>
      </c>
      <c r="D44" s="13" t="n">
        <f aca="false">C44+B44</f>
        <v>51878.9894633344</v>
      </c>
      <c r="E44" s="13" t="n">
        <f aca="false">D44*Inputs!$C$7</f>
        <v>518.789894633344</v>
      </c>
      <c r="F44" s="13" t="n">
        <f aca="false">D44+E44</f>
        <v>52397.7793579678</v>
      </c>
      <c r="G44" s="13" t="n">
        <f aca="false">K43</f>
        <v>53797.3412492287</v>
      </c>
      <c r="H44" s="13" t="n">
        <f aca="false">G44+B44</f>
        <v>54797.3412492287</v>
      </c>
      <c r="I44" s="13" t="n">
        <f aca="false">H44*Inputs!$C$7</f>
        <v>547.973412492287</v>
      </c>
      <c r="J44" s="13" t="n">
        <f aca="false">H44*(Inputs!$C$8/12)</f>
        <v>136.993353123072</v>
      </c>
      <c r="K44" s="13" t="n">
        <f aca="false">H44+I44+J44</f>
        <v>55482.308014844</v>
      </c>
      <c r="L44" s="13" t="n">
        <f aca="false">P43</f>
        <v>50878.9894633344</v>
      </c>
      <c r="M44" s="13" t="n">
        <f aca="false">L44+B44</f>
        <v>51878.9894633344</v>
      </c>
      <c r="N44" s="13" t="n">
        <f aca="false">M44*Inputs!$C$7</f>
        <v>518.789894633344</v>
      </c>
      <c r="O44" s="13" t="n">
        <f aca="false">M44*(Inputs!$C$8/12)</f>
        <v>129.697473658336</v>
      </c>
      <c r="P44" s="13" t="n">
        <f aca="false">M44+N44</f>
        <v>52397.7793579678</v>
      </c>
      <c r="Q44" s="13" t="n">
        <f aca="false">Q43+O44</f>
        <v>2599.44483949194</v>
      </c>
      <c r="R44" s="13" t="n">
        <f aca="false">R43+B44</f>
        <v>42000</v>
      </c>
    </row>
    <row r="45" customFormat="false" ht="15" hidden="false" customHeight="false" outlineLevel="0" collapsed="false">
      <c r="A45" s="18" t="n">
        <v>43</v>
      </c>
      <c r="B45" s="13" t="n">
        <f aca="false">Inputs!$C$6</f>
        <v>1000</v>
      </c>
      <c r="C45" s="13" t="n">
        <f aca="false">F44</f>
        <v>52397.7793579678</v>
      </c>
      <c r="D45" s="13" t="n">
        <f aca="false">C45+B45</f>
        <v>53397.7793579678</v>
      </c>
      <c r="E45" s="13" t="n">
        <f aca="false">D45*Inputs!$C$7</f>
        <v>533.977793579678</v>
      </c>
      <c r="F45" s="13" t="n">
        <f aca="false">D45+E45</f>
        <v>53931.7571515475</v>
      </c>
      <c r="G45" s="13" t="n">
        <f aca="false">K44</f>
        <v>55482.308014844</v>
      </c>
      <c r="H45" s="13" t="n">
        <f aca="false">G45+B45</f>
        <v>56482.308014844</v>
      </c>
      <c r="I45" s="13" t="n">
        <f aca="false">H45*Inputs!$C$7</f>
        <v>564.82308014844</v>
      </c>
      <c r="J45" s="13" t="n">
        <f aca="false">H45*(Inputs!$C$8/12)</f>
        <v>141.20577003711</v>
      </c>
      <c r="K45" s="13" t="n">
        <f aca="false">H45+I45+J45</f>
        <v>57188.3368650296</v>
      </c>
      <c r="L45" s="13" t="n">
        <f aca="false">P44</f>
        <v>52397.7793579678</v>
      </c>
      <c r="M45" s="13" t="n">
        <f aca="false">L45+B45</f>
        <v>53397.7793579678</v>
      </c>
      <c r="N45" s="13" t="n">
        <f aca="false">M45*Inputs!$C$7</f>
        <v>533.977793579678</v>
      </c>
      <c r="O45" s="13" t="n">
        <f aca="false">M45*(Inputs!$C$8/12)</f>
        <v>133.494448394919</v>
      </c>
      <c r="P45" s="13" t="n">
        <f aca="false">M45+N45</f>
        <v>53931.7571515475</v>
      </c>
      <c r="Q45" s="13" t="n">
        <f aca="false">Q44+O45</f>
        <v>2732.93928788686</v>
      </c>
      <c r="R45" s="13" t="n">
        <f aca="false">R44+B45</f>
        <v>43000</v>
      </c>
    </row>
    <row r="46" customFormat="false" ht="15" hidden="false" customHeight="false" outlineLevel="0" collapsed="false">
      <c r="A46" s="18" t="n">
        <v>44</v>
      </c>
      <c r="B46" s="13" t="n">
        <f aca="false">Inputs!$C$6</f>
        <v>1000</v>
      </c>
      <c r="C46" s="13" t="n">
        <f aca="false">F45</f>
        <v>53931.7571515475</v>
      </c>
      <c r="D46" s="13" t="n">
        <f aca="false">C46+B46</f>
        <v>54931.7571515475</v>
      </c>
      <c r="E46" s="13" t="n">
        <f aca="false">D46*Inputs!$C$7</f>
        <v>549.317571515475</v>
      </c>
      <c r="F46" s="13" t="n">
        <f aca="false">D46+E46</f>
        <v>55481.0747230629</v>
      </c>
      <c r="G46" s="13" t="n">
        <f aca="false">K45</f>
        <v>57188.3368650296</v>
      </c>
      <c r="H46" s="13" t="n">
        <f aca="false">G46+B46</f>
        <v>58188.3368650296</v>
      </c>
      <c r="I46" s="13" t="n">
        <f aca="false">H46*Inputs!$C$7</f>
        <v>581.883368650296</v>
      </c>
      <c r="J46" s="13" t="n">
        <f aca="false">H46*(Inputs!$C$8/12)</f>
        <v>145.470842162574</v>
      </c>
      <c r="K46" s="13" t="n">
        <f aca="false">H46+I46+J46</f>
        <v>58915.6910758424</v>
      </c>
      <c r="L46" s="13" t="n">
        <f aca="false">P45</f>
        <v>53931.7571515475</v>
      </c>
      <c r="M46" s="13" t="n">
        <f aca="false">L46+B46</f>
        <v>54931.7571515475</v>
      </c>
      <c r="N46" s="13" t="n">
        <f aca="false">M46*Inputs!$C$7</f>
        <v>549.317571515475</v>
      </c>
      <c r="O46" s="13" t="n">
        <f aca="false">M46*(Inputs!$C$8/12)</f>
        <v>137.329392878869</v>
      </c>
      <c r="P46" s="13" t="n">
        <f aca="false">M46+N46</f>
        <v>55481.0747230629</v>
      </c>
      <c r="Q46" s="13" t="n">
        <f aca="false">Q45+O46</f>
        <v>2870.26868076573</v>
      </c>
      <c r="R46" s="13" t="n">
        <f aca="false">R45+B46</f>
        <v>44000</v>
      </c>
    </row>
    <row r="47" customFormat="false" ht="15" hidden="false" customHeight="false" outlineLevel="0" collapsed="false">
      <c r="A47" s="18" t="n">
        <v>45</v>
      </c>
      <c r="B47" s="13" t="n">
        <f aca="false">Inputs!$C$6</f>
        <v>1000</v>
      </c>
      <c r="C47" s="13" t="n">
        <f aca="false">F46</f>
        <v>55481.0747230629</v>
      </c>
      <c r="D47" s="13" t="n">
        <f aca="false">C47+B47</f>
        <v>56481.0747230629</v>
      </c>
      <c r="E47" s="13" t="n">
        <f aca="false">D47*Inputs!$C$7</f>
        <v>564.810747230629</v>
      </c>
      <c r="F47" s="13" t="n">
        <f aca="false">D47+E47</f>
        <v>57045.8854702936</v>
      </c>
      <c r="G47" s="13" t="n">
        <f aca="false">K46</f>
        <v>58915.6910758424</v>
      </c>
      <c r="H47" s="13" t="n">
        <f aca="false">G47+B47</f>
        <v>59915.6910758424</v>
      </c>
      <c r="I47" s="13" t="n">
        <f aca="false">H47*Inputs!$C$7</f>
        <v>599.156910758424</v>
      </c>
      <c r="J47" s="13" t="n">
        <f aca="false">H47*(Inputs!$C$8/12)</f>
        <v>149.789227689606</v>
      </c>
      <c r="K47" s="13" t="n">
        <f aca="false">H47+I47+J47</f>
        <v>60664.6372142905</v>
      </c>
      <c r="L47" s="13" t="n">
        <f aca="false">P46</f>
        <v>55481.0747230629</v>
      </c>
      <c r="M47" s="13" t="n">
        <f aca="false">L47+B47</f>
        <v>56481.0747230629</v>
      </c>
      <c r="N47" s="13" t="n">
        <f aca="false">M47*Inputs!$C$7</f>
        <v>564.810747230629</v>
      </c>
      <c r="O47" s="13" t="n">
        <f aca="false">M47*(Inputs!$C$8/12)</f>
        <v>141.202686807657</v>
      </c>
      <c r="P47" s="13" t="n">
        <f aca="false">M47+N47</f>
        <v>57045.8854702936</v>
      </c>
      <c r="Q47" s="13" t="n">
        <f aca="false">Q46+O47</f>
        <v>3011.47136757338</v>
      </c>
      <c r="R47" s="13" t="n">
        <f aca="false">R46+B47</f>
        <v>45000</v>
      </c>
    </row>
    <row r="48" customFormat="false" ht="15" hidden="false" customHeight="false" outlineLevel="0" collapsed="false">
      <c r="A48" s="18" t="n">
        <v>46</v>
      </c>
      <c r="B48" s="13" t="n">
        <f aca="false">Inputs!$C$6</f>
        <v>1000</v>
      </c>
      <c r="C48" s="13" t="n">
        <f aca="false">F47</f>
        <v>57045.8854702936</v>
      </c>
      <c r="D48" s="13" t="n">
        <f aca="false">C48+B48</f>
        <v>58045.8854702936</v>
      </c>
      <c r="E48" s="13" t="n">
        <f aca="false">D48*Inputs!$C$7</f>
        <v>580.458854702936</v>
      </c>
      <c r="F48" s="13" t="n">
        <f aca="false">D48+E48</f>
        <v>58626.3443249965</v>
      </c>
      <c r="G48" s="13" t="n">
        <f aca="false">K47</f>
        <v>60664.6372142905</v>
      </c>
      <c r="H48" s="13" t="n">
        <f aca="false">G48+B48</f>
        <v>61664.6372142905</v>
      </c>
      <c r="I48" s="13" t="n">
        <f aca="false">H48*Inputs!$C$7</f>
        <v>616.646372142905</v>
      </c>
      <c r="J48" s="13" t="n">
        <f aca="false">H48*(Inputs!$C$8/12)</f>
        <v>154.161593035726</v>
      </c>
      <c r="K48" s="13" t="n">
        <f aca="false">H48+I48+J48</f>
        <v>62435.4451794691</v>
      </c>
      <c r="L48" s="13" t="n">
        <f aca="false">P47</f>
        <v>57045.8854702936</v>
      </c>
      <c r="M48" s="13" t="n">
        <f aca="false">L48+B48</f>
        <v>58045.8854702936</v>
      </c>
      <c r="N48" s="13" t="n">
        <f aca="false">M48*Inputs!$C$7</f>
        <v>580.458854702936</v>
      </c>
      <c r="O48" s="13" t="n">
        <f aca="false">M48*(Inputs!$C$8/12)</f>
        <v>145.114713675734</v>
      </c>
      <c r="P48" s="13" t="n">
        <f aca="false">M48+N48</f>
        <v>58626.3443249965</v>
      </c>
      <c r="Q48" s="13" t="n">
        <f aca="false">Q47+O48</f>
        <v>3156.58608124912</v>
      </c>
      <c r="R48" s="13" t="n">
        <f aca="false">R47+B48</f>
        <v>46000</v>
      </c>
    </row>
    <row r="49" customFormat="false" ht="15" hidden="false" customHeight="false" outlineLevel="0" collapsed="false">
      <c r="A49" s="18" t="n">
        <v>47</v>
      </c>
      <c r="B49" s="13" t="n">
        <f aca="false">Inputs!$C$6</f>
        <v>1000</v>
      </c>
      <c r="C49" s="13" t="n">
        <f aca="false">F48</f>
        <v>58626.3443249965</v>
      </c>
      <c r="D49" s="13" t="n">
        <f aca="false">C49+B49</f>
        <v>59626.3443249965</v>
      </c>
      <c r="E49" s="13" t="n">
        <f aca="false">D49*Inputs!$C$7</f>
        <v>596.263443249965</v>
      </c>
      <c r="F49" s="13" t="n">
        <f aca="false">D49+E49</f>
        <v>60222.6077682465</v>
      </c>
      <c r="G49" s="13" t="n">
        <f aca="false">K48</f>
        <v>62435.4451794691</v>
      </c>
      <c r="H49" s="13" t="n">
        <f aca="false">G49+B49</f>
        <v>63435.4451794691</v>
      </c>
      <c r="I49" s="13" t="n">
        <f aca="false">H49*Inputs!$C$7</f>
        <v>634.354451794691</v>
      </c>
      <c r="J49" s="13" t="n">
        <f aca="false">H49*(Inputs!$C$8/12)</f>
        <v>158.588612948673</v>
      </c>
      <c r="K49" s="13" t="n">
        <f aca="false">H49+I49+J49</f>
        <v>64228.3882442125</v>
      </c>
      <c r="L49" s="13" t="n">
        <f aca="false">P48</f>
        <v>58626.3443249965</v>
      </c>
      <c r="M49" s="13" t="n">
        <f aca="false">L49+B49</f>
        <v>59626.3443249965</v>
      </c>
      <c r="N49" s="13" t="n">
        <f aca="false">M49*Inputs!$C$7</f>
        <v>596.263443249965</v>
      </c>
      <c r="O49" s="13" t="n">
        <f aca="false">M49*(Inputs!$C$8/12)</f>
        <v>149.065860812491</v>
      </c>
      <c r="P49" s="13" t="n">
        <f aca="false">M49+N49</f>
        <v>60222.6077682465</v>
      </c>
      <c r="Q49" s="13" t="n">
        <f aca="false">Q48+O49</f>
        <v>3305.65194206161</v>
      </c>
      <c r="R49" s="13" t="n">
        <f aca="false">R48+B49</f>
        <v>47000</v>
      </c>
    </row>
    <row r="50" customFormat="false" ht="15" hidden="false" customHeight="false" outlineLevel="0" collapsed="false">
      <c r="A50" s="18" t="n">
        <v>48</v>
      </c>
      <c r="B50" s="13" t="n">
        <f aca="false">Inputs!$C$6</f>
        <v>1000</v>
      </c>
      <c r="C50" s="13" t="n">
        <f aca="false">F49</f>
        <v>60222.6077682465</v>
      </c>
      <c r="D50" s="13" t="n">
        <f aca="false">C50+B50</f>
        <v>61222.6077682465</v>
      </c>
      <c r="E50" s="13" t="n">
        <f aca="false">D50*Inputs!$C$7</f>
        <v>612.226077682465</v>
      </c>
      <c r="F50" s="13" t="n">
        <f aca="false">D50+E50</f>
        <v>61834.8338459289</v>
      </c>
      <c r="G50" s="13" t="n">
        <f aca="false">K49</f>
        <v>64228.3882442125</v>
      </c>
      <c r="H50" s="13" t="n">
        <f aca="false">G50+B50</f>
        <v>65228.3882442125</v>
      </c>
      <c r="I50" s="13" t="n">
        <f aca="false">H50*Inputs!$C$7</f>
        <v>652.283882442125</v>
      </c>
      <c r="J50" s="13" t="n">
        <f aca="false">H50*(Inputs!$C$8/12)</f>
        <v>163.070970610531</v>
      </c>
      <c r="K50" s="13" t="n">
        <f aca="false">H50+I50+J50</f>
        <v>66043.7430972651</v>
      </c>
      <c r="L50" s="13" t="n">
        <f aca="false">P49</f>
        <v>60222.6077682465</v>
      </c>
      <c r="M50" s="13" t="n">
        <f aca="false">L50+B50</f>
        <v>61222.6077682465</v>
      </c>
      <c r="N50" s="13" t="n">
        <f aca="false">M50*Inputs!$C$7</f>
        <v>612.226077682465</v>
      </c>
      <c r="O50" s="13" t="n">
        <f aca="false">M50*(Inputs!$C$8/12)</f>
        <v>153.056519420616</v>
      </c>
      <c r="P50" s="13" t="n">
        <f aca="false">M50+N50</f>
        <v>61834.8338459289</v>
      </c>
      <c r="Q50" s="13" t="n">
        <f aca="false">Q49+O50</f>
        <v>3458.70846148223</v>
      </c>
      <c r="R50" s="13" t="n">
        <f aca="false">R49+B50</f>
        <v>48000</v>
      </c>
    </row>
    <row r="51" customFormat="false" ht="15" hidden="false" customHeight="false" outlineLevel="0" collapsed="false">
      <c r="A51" s="18" t="n">
        <v>49</v>
      </c>
      <c r="B51" s="13" t="n">
        <f aca="false">Inputs!$C$6</f>
        <v>1000</v>
      </c>
      <c r="C51" s="13" t="n">
        <f aca="false">F50</f>
        <v>61834.8338459289</v>
      </c>
      <c r="D51" s="13" t="n">
        <f aca="false">C51+B51</f>
        <v>62834.8338459289</v>
      </c>
      <c r="E51" s="13" t="n">
        <f aca="false">D51*Inputs!$C$7</f>
        <v>628.348338459289</v>
      </c>
      <c r="F51" s="13" t="n">
        <f aca="false">D51+E51</f>
        <v>63463.1821843882</v>
      </c>
      <c r="G51" s="13" t="n">
        <f aca="false">K50</f>
        <v>66043.7430972651</v>
      </c>
      <c r="H51" s="13" t="n">
        <f aca="false">G51+B51</f>
        <v>67043.7430972651</v>
      </c>
      <c r="I51" s="13" t="n">
        <f aca="false">H51*Inputs!$C$7</f>
        <v>670.437430972651</v>
      </c>
      <c r="J51" s="13" t="n">
        <f aca="false">H51*(Inputs!$C$8/12)</f>
        <v>167.609357743163</v>
      </c>
      <c r="K51" s="13" t="n">
        <f aca="false">H51+I51+J51</f>
        <v>67881.7898859809</v>
      </c>
      <c r="L51" s="13" t="n">
        <f aca="false">P50</f>
        <v>61834.8338459289</v>
      </c>
      <c r="M51" s="13" t="n">
        <f aca="false">L51+B51</f>
        <v>62834.8338459289</v>
      </c>
      <c r="N51" s="13" t="n">
        <f aca="false">M51*Inputs!$C$7</f>
        <v>628.348338459289</v>
      </c>
      <c r="O51" s="13" t="n">
        <f aca="false">M51*(Inputs!$C$8/12)</f>
        <v>157.087084614822</v>
      </c>
      <c r="P51" s="13" t="n">
        <f aca="false">M51+N51</f>
        <v>63463.1821843882</v>
      </c>
      <c r="Q51" s="13" t="n">
        <f aca="false">Q50+O51</f>
        <v>3615.79554609705</v>
      </c>
      <c r="R51" s="13" t="n">
        <f aca="false">R50+B51</f>
        <v>49000</v>
      </c>
    </row>
    <row r="52" customFormat="false" ht="15" hidden="false" customHeight="false" outlineLevel="0" collapsed="false">
      <c r="A52" s="18" t="n">
        <v>50</v>
      </c>
      <c r="B52" s="13" t="n">
        <f aca="false">Inputs!$C$6</f>
        <v>1000</v>
      </c>
      <c r="C52" s="13" t="n">
        <f aca="false">F51</f>
        <v>63463.1821843882</v>
      </c>
      <c r="D52" s="13" t="n">
        <f aca="false">C52+B52</f>
        <v>64463.1821843882</v>
      </c>
      <c r="E52" s="13" t="n">
        <f aca="false">D52*Inputs!$C$7</f>
        <v>644.631821843882</v>
      </c>
      <c r="F52" s="13" t="n">
        <f aca="false">D52+E52</f>
        <v>65107.8140062321</v>
      </c>
      <c r="G52" s="13" t="n">
        <f aca="false">K51</f>
        <v>67881.7898859809</v>
      </c>
      <c r="H52" s="13" t="n">
        <f aca="false">G52+B52</f>
        <v>68881.7898859809</v>
      </c>
      <c r="I52" s="13" t="n">
        <f aca="false">H52*Inputs!$C$7</f>
        <v>688.817898859809</v>
      </c>
      <c r="J52" s="13" t="n">
        <f aca="false">H52*(Inputs!$C$8/12)</f>
        <v>172.204474714952</v>
      </c>
      <c r="K52" s="13" t="n">
        <f aca="false">H52+I52+J52</f>
        <v>69742.8122595557</v>
      </c>
      <c r="L52" s="13" t="n">
        <f aca="false">P51</f>
        <v>63463.1821843882</v>
      </c>
      <c r="M52" s="13" t="n">
        <f aca="false">L52+B52</f>
        <v>64463.1821843882</v>
      </c>
      <c r="N52" s="13" t="n">
        <f aca="false">M52*Inputs!$C$7</f>
        <v>644.631821843882</v>
      </c>
      <c r="O52" s="13" t="n">
        <f aca="false">M52*(Inputs!$C$8/12)</f>
        <v>161.157955460971</v>
      </c>
      <c r="P52" s="13" t="n">
        <f aca="false">M52+N52</f>
        <v>65107.8140062321</v>
      </c>
      <c r="Q52" s="13" t="n">
        <f aca="false">Q51+O52</f>
        <v>3776.95350155802</v>
      </c>
      <c r="R52" s="13" t="n">
        <f aca="false">R51+B52</f>
        <v>50000</v>
      </c>
    </row>
    <row r="53" customFormat="false" ht="15" hidden="false" customHeight="false" outlineLevel="0" collapsed="false">
      <c r="A53" s="18" t="n">
        <v>51</v>
      </c>
      <c r="B53" s="13" t="n">
        <f aca="false">Inputs!$C$6</f>
        <v>1000</v>
      </c>
      <c r="C53" s="13" t="n">
        <f aca="false">F52</f>
        <v>65107.8140062321</v>
      </c>
      <c r="D53" s="13" t="n">
        <f aca="false">C53+B53</f>
        <v>66107.8140062321</v>
      </c>
      <c r="E53" s="13" t="n">
        <f aca="false">D53*Inputs!$C$7</f>
        <v>661.078140062321</v>
      </c>
      <c r="F53" s="13" t="n">
        <f aca="false">D53+E53</f>
        <v>66768.8921462944</v>
      </c>
      <c r="G53" s="13" t="n">
        <f aca="false">K52</f>
        <v>69742.8122595557</v>
      </c>
      <c r="H53" s="13" t="n">
        <f aca="false">G53+B53</f>
        <v>70742.8122595557</v>
      </c>
      <c r="I53" s="13" t="n">
        <f aca="false">H53*Inputs!$C$7</f>
        <v>707.428122595557</v>
      </c>
      <c r="J53" s="13" t="n">
        <f aca="false">H53*(Inputs!$C$8/12)</f>
        <v>176.857030648889</v>
      </c>
      <c r="K53" s="13" t="n">
        <f aca="false">H53+I53+J53</f>
        <v>71627.0974128001</v>
      </c>
      <c r="L53" s="13" t="n">
        <f aca="false">P52</f>
        <v>65107.8140062321</v>
      </c>
      <c r="M53" s="13" t="n">
        <f aca="false">L53+B53</f>
        <v>66107.8140062321</v>
      </c>
      <c r="N53" s="13" t="n">
        <f aca="false">M53*Inputs!$C$7</f>
        <v>661.078140062321</v>
      </c>
      <c r="O53" s="13" t="n">
        <f aca="false">M53*(Inputs!$C$8/12)</f>
        <v>165.26953501558</v>
      </c>
      <c r="P53" s="13" t="n">
        <f aca="false">M53+N53</f>
        <v>66768.8921462944</v>
      </c>
      <c r="Q53" s="13" t="n">
        <f aca="false">Q52+O53</f>
        <v>3942.2230365736</v>
      </c>
      <c r="R53" s="13" t="n">
        <f aca="false">R52+B53</f>
        <v>51000</v>
      </c>
    </row>
    <row r="54" customFormat="false" ht="15" hidden="false" customHeight="false" outlineLevel="0" collapsed="false">
      <c r="A54" s="18" t="n">
        <v>52</v>
      </c>
      <c r="B54" s="13" t="n">
        <f aca="false">Inputs!$C$6</f>
        <v>1000</v>
      </c>
      <c r="C54" s="13" t="n">
        <f aca="false">F53</f>
        <v>66768.8921462944</v>
      </c>
      <c r="D54" s="13" t="n">
        <f aca="false">C54+B54</f>
        <v>67768.8921462944</v>
      </c>
      <c r="E54" s="13" t="n">
        <f aca="false">D54*Inputs!$C$7</f>
        <v>677.688921462944</v>
      </c>
      <c r="F54" s="13" t="n">
        <f aca="false">D54+E54</f>
        <v>68446.5810677574</v>
      </c>
      <c r="G54" s="13" t="n">
        <f aca="false">K53</f>
        <v>71627.0974128001</v>
      </c>
      <c r="H54" s="13" t="n">
        <f aca="false">G54+B54</f>
        <v>72627.0974128001</v>
      </c>
      <c r="I54" s="13" t="n">
        <f aca="false">H54*Inputs!$C$7</f>
        <v>726.270974128001</v>
      </c>
      <c r="J54" s="13" t="n">
        <f aca="false">H54*(Inputs!$C$8/12)</f>
        <v>181.567743532</v>
      </c>
      <c r="K54" s="13" t="n">
        <f aca="false">H54+I54+J54</f>
        <v>73534.9361304601</v>
      </c>
      <c r="L54" s="13" t="n">
        <f aca="false">P53</f>
        <v>66768.8921462944</v>
      </c>
      <c r="M54" s="13" t="n">
        <f aca="false">L54+B54</f>
        <v>67768.8921462944</v>
      </c>
      <c r="N54" s="13" t="n">
        <f aca="false">M54*Inputs!$C$7</f>
        <v>677.688921462944</v>
      </c>
      <c r="O54" s="13" t="n">
        <f aca="false">M54*(Inputs!$C$8/12)</f>
        <v>169.422230365736</v>
      </c>
      <c r="P54" s="13" t="n">
        <f aca="false">M54+N54</f>
        <v>68446.5810677574</v>
      </c>
      <c r="Q54" s="13" t="n">
        <f aca="false">Q53+O54</f>
        <v>4111.64526693934</v>
      </c>
      <c r="R54" s="13" t="n">
        <f aca="false">R53+B54</f>
        <v>52000</v>
      </c>
    </row>
    <row r="55" customFormat="false" ht="15" hidden="false" customHeight="false" outlineLevel="0" collapsed="false">
      <c r="A55" s="18" t="n">
        <v>53</v>
      </c>
      <c r="B55" s="13" t="n">
        <f aca="false">Inputs!$C$6</f>
        <v>1000</v>
      </c>
      <c r="C55" s="13" t="n">
        <f aca="false">F54</f>
        <v>68446.5810677574</v>
      </c>
      <c r="D55" s="13" t="n">
        <f aca="false">C55+B55</f>
        <v>69446.5810677574</v>
      </c>
      <c r="E55" s="13" t="n">
        <f aca="false">D55*Inputs!$C$7</f>
        <v>694.465810677574</v>
      </c>
      <c r="F55" s="13" t="n">
        <f aca="false">D55+E55</f>
        <v>70141.046878435</v>
      </c>
      <c r="G55" s="13" t="n">
        <f aca="false">K54</f>
        <v>73534.9361304601</v>
      </c>
      <c r="H55" s="13" t="n">
        <f aca="false">G55+B55</f>
        <v>74534.9361304601</v>
      </c>
      <c r="I55" s="13" t="n">
        <f aca="false">H55*Inputs!$C$7</f>
        <v>745.349361304601</v>
      </c>
      <c r="J55" s="13" t="n">
        <f aca="false">H55*(Inputs!$C$8/12)</f>
        <v>186.33734032615</v>
      </c>
      <c r="K55" s="13" t="n">
        <f aca="false">H55+I55+J55</f>
        <v>75466.6228320909</v>
      </c>
      <c r="L55" s="13" t="n">
        <f aca="false">P54</f>
        <v>68446.5810677574</v>
      </c>
      <c r="M55" s="13" t="n">
        <f aca="false">L55+B55</f>
        <v>69446.5810677574</v>
      </c>
      <c r="N55" s="13" t="n">
        <f aca="false">M55*Inputs!$C$7</f>
        <v>694.465810677574</v>
      </c>
      <c r="O55" s="13" t="n">
        <f aca="false">M55*(Inputs!$C$8/12)</f>
        <v>173.616452669393</v>
      </c>
      <c r="P55" s="13" t="n">
        <f aca="false">M55+N55</f>
        <v>70141.046878435</v>
      </c>
      <c r="Q55" s="13" t="n">
        <f aca="false">Q54+O55</f>
        <v>4285.26171960873</v>
      </c>
      <c r="R55" s="13" t="n">
        <f aca="false">R54+B55</f>
        <v>53000</v>
      </c>
    </row>
    <row r="56" customFormat="false" ht="15" hidden="false" customHeight="false" outlineLevel="0" collapsed="false">
      <c r="A56" s="18" t="n">
        <v>54</v>
      </c>
      <c r="B56" s="13" t="n">
        <f aca="false">Inputs!$C$6</f>
        <v>1000</v>
      </c>
      <c r="C56" s="13" t="n">
        <f aca="false">F55</f>
        <v>70141.046878435</v>
      </c>
      <c r="D56" s="13" t="n">
        <f aca="false">C56+B56</f>
        <v>71141.046878435</v>
      </c>
      <c r="E56" s="13" t="n">
        <f aca="false">D56*Inputs!$C$7</f>
        <v>711.41046878435</v>
      </c>
      <c r="F56" s="13" t="n">
        <f aca="false">D56+E56</f>
        <v>71852.4573472193</v>
      </c>
      <c r="G56" s="13" t="n">
        <f aca="false">K55</f>
        <v>75466.6228320909</v>
      </c>
      <c r="H56" s="13" t="n">
        <f aca="false">G56+B56</f>
        <v>76466.6228320909</v>
      </c>
      <c r="I56" s="13" t="n">
        <f aca="false">H56*Inputs!$C$7</f>
        <v>764.666228320909</v>
      </c>
      <c r="J56" s="13" t="n">
        <f aca="false">H56*(Inputs!$C$8/12)</f>
        <v>191.166557080227</v>
      </c>
      <c r="K56" s="13" t="n">
        <f aca="false">H56+I56+J56</f>
        <v>77422.455617492</v>
      </c>
      <c r="L56" s="13" t="n">
        <f aca="false">P55</f>
        <v>70141.046878435</v>
      </c>
      <c r="M56" s="13" t="n">
        <f aca="false">L56+B56</f>
        <v>71141.046878435</v>
      </c>
      <c r="N56" s="13" t="n">
        <f aca="false">M56*Inputs!$C$7</f>
        <v>711.41046878435</v>
      </c>
      <c r="O56" s="13" t="n">
        <f aca="false">M56*(Inputs!$C$8/12)</f>
        <v>177.852617196087</v>
      </c>
      <c r="P56" s="13" t="n">
        <f aca="false">M56+N56</f>
        <v>71852.4573472193</v>
      </c>
      <c r="Q56" s="13" t="n">
        <f aca="false">Q55+O56</f>
        <v>4463.11433680482</v>
      </c>
      <c r="R56" s="13" t="n">
        <f aca="false">R55+B56</f>
        <v>54000</v>
      </c>
    </row>
    <row r="57" customFormat="false" ht="15" hidden="false" customHeight="false" outlineLevel="0" collapsed="false">
      <c r="A57" s="18" t="n">
        <v>55</v>
      </c>
      <c r="B57" s="13" t="n">
        <f aca="false">Inputs!$C$6</f>
        <v>1000</v>
      </c>
      <c r="C57" s="13" t="n">
        <f aca="false">F56</f>
        <v>71852.4573472193</v>
      </c>
      <c r="D57" s="13" t="n">
        <f aca="false">C57+B57</f>
        <v>72852.4573472193</v>
      </c>
      <c r="E57" s="13" t="n">
        <f aca="false">D57*Inputs!$C$7</f>
        <v>728.524573472193</v>
      </c>
      <c r="F57" s="13" t="n">
        <f aca="false">D57+E57</f>
        <v>73580.9819206915</v>
      </c>
      <c r="G57" s="13" t="n">
        <f aca="false">K56</f>
        <v>77422.455617492</v>
      </c>
      <c r="H57" s="13" t="n">
        <f aca="false">G57+B57</f>
        <v>78422.455617492</v>
      </c>
      <c r="I57" s="13" t="n">
        <f aca="false">H57*Inputs!$C$7</f>
        <v>784.22455617492</v>
      </c>
      <c r="J57" s="13" t="n">
        <f aca="false">H57*(Inputs!$C$8/12)</f>
        <v>196.05613904373</v>
      </c>
      <c r="K57" s="13" t="n">
        <f aca="false">H57+I57+J57</f>
        <v>79402.7363127107</v>
      </c>
      <c r="L57" s="13" t="n">
        <f aca="false">P56</f>
        <v>71852.4573472193</v>
      </c>
      <c r="M57" s="13" t="n">
        <f aca="false">L57+B57</f>
        <v>72852.4573472193</v>
      </c>
      <c r="N57" s="13" t="n">
        <f aca="false">M57*Inputs!$C$7</f>
        <v>728.524573472193</v>
      </c>
      <c r="O57" s="13" t="n">
        <f aca="false">M57*(Inputs!$C$8/12)</f>
        <v>182.131143368048</v>
      </c>
      <c r="P57" s="13" t="n">
        <f aca="false">M57+N57</f>
        <v>73580.9819206915</v>
      </c>
      <c r="Q57" s="13" t="n">
        <f aca="false">Q56+O57</f>
        <v>4645.24548017287</v>
      </c>
      <c r="R57" s="13" t="n">
        <f aca="false">R56+B57</f>
        <v>55000</v>
      </c>
    </row>
    <row r="58" customFormat="false" ht="15" hidden="false" customHeight="false" outlineLevel="0" collapsed="false">
      <c r="A58" s="18" t="n">
        <v>56</v>
      </c>
      <c r="B58" s="13" t="n">
        <f aca="false">Inputs!$C$6</f>
        <v>1000</v>
      </c>
      <c r="C58" s="13" t="n">
        <f aca="false">F57</f>
        <v>73580.9819206915</v>
      </c>
      <c r="D58" s="13" t="n">
        <f aca="false">C58+B58</f>
        <v>74580.9819206915</v>
      </c>
      <c r="E58" s="13" t="n">
        <f aca="false">D58*Inputs!$C$7</f>
        <v>745.809819206915</v>
      </c>
      <c r="F58" s="13" t="n">
        <f aca="false">D58+E58</f>
        <v>75326.7917398984</v>
      </c>
      <c r="G58" s="13" t="n">
        <f aca="false">K57</f>
        <v>79402.7363127107</v>
      </c>
      <c r="H58" s="13" t="n">
        <f aca="false">G58+B58</f>
        <v>80402.7363127107</v>
      </c>
      <c r="I58" s="13" t="n">
        <f aca="false">H58*Inputs!$C$7</f>
        <v>804.027363127107</v>
      </c>
      <c r="J58" s="13" t="n">
        <f aca="false">H58*(Inputs!$C$8/12)</f>
        <v>201.006840781777</v>
      </c>
      <c r="K58" s="13" t="n">
        <f aca="false">H58+I58+J58</f>
        <v>81407.7705166196</v>
      </c>
      <c r="L58" s="13" t="n">
        <f aca="false">P57</f>
        <v>73580.9819206915</v>
      </c>
      <c r="M58" s="13" t="n">
        <f aca="false">L58+B58</f>
        <v>74580.9819206915</v>
      </c>
      <c r="N58" s="13" t="n">
        <f aca="false">M58*Inputs!$C$7</f>
        <v>745.809819206915</v>
      </c>
      <c r="O58" s="13" t="n">
        <f aca="false">M58*(Inputs!$C$8/12)</f>
        <v>186.452454801729</v>
      </c>
      <c r="P58" s="13" t="n">
        <f aca="false">M58+N58</f>
        <v>75326.7917398984</v>
      </c>
      <c r="Q58" s="13" t="n">
        <f aca="false">Q57+O58</f>
        <v>4831.69793497459</v>
      </c>
      <c r="R58" s="13" t="n">
        <f aca="false">R57+B58</f>
        <v>56000</v>
      </c>
    </row>
    <row r="59" customFormat="false" ht="15" hidden="false" customHeight="false" outlineLevel="0" collapsed="false">
      <c r="A59" s="18" t="n">
        <v>57</v>
      </c>
      <c r="B59" s="13" t="n">
        <f aca="false">Inputs!$C$6</f>
        <v>1000</v>
      </c>
      <c r="C59" s="13" t="n">
        <f aca="false">F58</f>
        <v>75326.7917398984</v>
      </c>
      <c r="D59" s="13" t="n">
        <f aca="false">C59+B59</f>
        <v>76326.7917398984</v>
      </c>
      <c r="E59" s="13" t="n">
        <f aca="false">D59*Inputs!$C$7</f>
        <v>763.267917398984</v>
      </c>
      <c r="F59" s="13" t="n">
        <f aca="false">D59+E59</f>
        <v>77090.0596572974</v>
      </c>
      <c r="G59" s="13" t="n">
        <f aca="false">K58</f>
        <v>81407.7705166196</v>
      </c>
      <c r="H59" s="13" t="n">
        <f aca="false">G59+B59</f>
        <v>82407.7705166196</v>
      </c>
      <c r="I59" s="13" t="n">
        <f aca="false">H59*Inputs!$C$7</f>
        <v>824.077705166196</v>
      </c>
      <c r="J59" s="13" t="n">
        <f aca="false">H59*(Inputs!$C$8/12)</f>
        <v>206.019426291549</v>
      </c>
      <c r="K59" s="13" t="n">
        <f aca="false">H59+I59+J59</f>
        <v>83437.8676480773</v>
      </c>
      <c r="L59" s="13" t="n">
        <f aca="false">P58</f>
        <v>75326.7917398984</v>
      </c>
      <c r="M59" s="13" t="n">
        <f aca="false">L59+B59</f>
        <v>76326.7917398984</v>
      </c>
      <c r="N59" s="13" t="n">
        <f aca="false">M59*Inputs!$C$7</f>
        <v>763.267917398984</v>
      </c>
      <c r="O59" s="13" t="n">
        <f aca="false">M59*(Inputs!$C$8/12)</f>
        <v>190.816979349746</v>
      </c>
      <c r="P59" s="13" t="n">
        <f aca="false">M59+N59</f>
        <v>77090.0596572974</v>
      </c>
      <c r="Q59" s="13" t="n">
        <f aca="false">Q58+O59</f>
        <v>5022.51491432434</v>
      </c>
      <c r="R59" s="13" t="n">
        <f aca="false">R58+B59</f>
        <v>57000</v>
      </c>
    </row>
    <row r="60" customFormat="false" ht="15" hidden="false" customHeight="false" outlineLevel="0" collapsed="false">
      <c r="A60" s="18" t="n">
        <v>58</v>
      </c>
      <c r="B60" s="13" t="n">
        <f aca="false">Inputs!$C$6</f>
        <v>1000</v>
      </c>
      <c r="C60" s="13" t="n">
        <f aca="false">F59</f>
        <v>77090.0596572974</v>
      </c>
      <c r="D60" s="13" t="n">
        <f aca="false">C60+B60</f>
        <v>78090.0596572974</v>
      </c>
      <c r="E60" s="13" t="n">
        <f aca="false">D60*Inputs!$C$7</f>
        <v>780.900596572974</v>
      </c>
      <c r="F60" s="13" t="n">
        <f aca="false">D60+E60</f>
        <v>78870.9602538704</v>
      </c>
      <c r="G60" s="13" t="n">
        <f aca="false">K59</f>
        <v>83437.8676480773</v>
      </c>
      <c r="H60" s="13" t="n">
        <f aca="false">G60+B60</f>
        <v>84437.8676480773</v>
      </c>
      <c r="I60" s="13" t="n">
        <f aca="false">H60*Inputs!$C$7</f>
        <v>844.378676480773</v>
      </c>
      <c r="J60" s="13" t="n">
        <f aca="false">H60*(Inputs!$C$8/12)</f>
        <v>211.094669120193</v>
      </c>
      <c r="K60" s="13" t="n">
        <f aca="false">H60+I60+J60</f>
        <v>85493.3409936783</v>
      </c>
      <c r="L60" s="13" t="n">
        <f aca="false">P59</f>
        <v>77090.0596572974</v>
      </c>
      <c r="M60" s="13" t="n">
        <f aca="false">L60+B60</f>
        <v>78090.0596572974</v>
      </c>
      <c r="N60" s="13" t="n">
        <f aca="false">M60*Inputs!$C$7</f>
        <v>780.900596572974</v>
      </c>
      <c r="O60" s="13" t="n">
        <f aca="false">M60*(Inputs!$C$8/12)</f>
        <v>195.225149143244</v>
      </c>
      <c r="P60" s="13" t="n">
        <f aca="false">M60+N60</f>
        <v>78870.9602538704</v>
      </c>
      <c r="Q60" s="13" t="n">
        <f aca="false">Q59+O60</f>
        <v>5217.74006346758</v>
      </c>
      <c r="R60" s="13" t="n">
        <f aca="false">R59+B60</f>
        <v>58000</v>
      </c>
    </row>
    <row r="61" customFormat="false" ht="15" hidden="false" customHeight="false" outlineLevel="0" collapsed="false">
      <c r="A61" s="18" t="n">
        <v>59</v>
      </c>
      <c r="B61" s="13" t="n">
        <f aca="false">Inputs!$C$6</f>
        <v>1000</v>
      </c>
      <c r="C61" s="13" t="n">
        <f aca="false">F60</f>
        <v>78870.9602538704</v>
      </c>
      <c r="D61" s="13" t="n">
        <f aca="false">C61+B61</f>
        <v>79870.9602538704</v>
      </c>
      <c r="E61" s="13" t="n">
        <f aca="false">D61*Inputs!$C$7</f>
        <v>798.709602538704</v>
      </c>
      <c r="F61" s="13" t="n">
        <f aca="false">D61+E61</f>
        <v>80669.6698564091</v>
      </c>
      <c r="G61" s="13" t="n">
        <f aca="false">K60</f>
        <v>85493.3409936783</v>
      </c>
      <c r="H61" s="13" t="n">
        <f aca="false">G61+B61</f>
        <v>86493.3409936783</v>
      </c>
      <c r="I61" s="13" t="n">
        <f aca="false">H61*Inputs!$C$7</f>
        <v>864.933409936783</v>
      </c>
      <c r="J61" s="13" t="n">
        <f aca="false">H61*(Inputs!$C$8/12)</f>
        <v>216.233352484196</v>
      </c>
      <c r="K61" s="13" t="n">
        <f aca="false">H61+I61+J61</f>
        <v>87574.5077560993</v>
      </c>
      <c r="L61" s="13" t="n">
        <f aca="false">P60</f>
        <v>78870.9602538704</v>
      </c>
      <c r="M61" s="13" t="n">
        <f aca="false">L61+B61</f>
        <v>79870.9602538704</v>
      </c>
      <c r="N61" s="13" t="n">
        <f aca="false">M61*Inputs!$C$7</f>
        <v>798.709602538704</v>
      </c>
      <c r="O61" s="13" t="n">
        <f aca="false">M61*(Inputs!$C$8/12)</f>
        <v>199.677400634676</v>
      </c>
      <c r="P61" s="13" t="n">
        <f aca="false">M61+N61</f>
        <v>80669.6698564091</v>
      </c>
      <c r="Q61" s="13" t="n">
        <f aca="false">Q60+O61</f>
        <v>5417.41746410226</v>
      </c>
      <c r="R61" s="13" t="n">
        <f aca="false">R60+B61</f>
        <v>59000</v>
      </c>
    </row>
    <row r="62" customFormat="false" ht="15" hidden="false" customHeight="false" outlineLevel="0" collapsed="false">
      <c r="A62" s="18" t="n">
        <v>60</v>
      </c>
      <c r="B62" s="13" t="n">
        <f aca="false">Inputs!$C$6</f>
        <v>1000</v>
      </c>
      <c r="C62" s="13" t="n">
        <f aca="false">F61</f>
        <v>80669.6698564091</v>
      </c>
      <c r="D62" s="13" t="n">
        <f aca="false">C62+B62</f>
        <v>81669.6698564091</v>
      </c>
      <c r="E62" s="13" t="n">
        <f aca="false">D62*Inputs!$C$7</f>
        <v>816.696698564091</v>
      </c>
      <c r="F62" s="13" t="n">
        <f aca="false">D62+E62</f>
        <v>82486.3665549732</v>
      </c>
      <c r="G62" s="13" t="n">
        <f aca="false">K61</f>
        <v>87574.5077560993</v>
      </c>
      <c r="H62" s="13" t="n">
        <f aca="false">G62+B62</f>
        <v>88574.5077560993</v>
      </c>
      <c r="I62" s="13" t="n">
        <f aca="false">H62*Inputs!$C$7</f>
        <v>885.745077560993</v>
      </c>
      <c r="J62" s="13" t="n">
        <f aca="false">H62*(Inputs!$C$8/12)</f>
        <v>221.436269390248</v>
      </c>
      <c r="K62" s="13" t="n">
        <f aca="false">H62+I62+J62</f>
        <v>89681.6891030505</v>
      </c>
      <c r="L62" s="13" t="n">
        <f aca="false">P61</f>
        <v>80669.6698564091</v>
      </c>
      <c r="M62" s="13" t="n">
        <f aca="false">L62+B62</f>
        <v>81669.6698564091</v>
      </c>
      <c r="N62" s="13" t="n">
        <f aca="false">M62*Inputs!$C$7</f>
        <v>816.696698564091</v>
      </c>
      <c r="O62" s="13" t="n">
        <f aca="false">M62*(Inputs!$C$8/12)</f>
        <v>204.174174641023</v>
      </c>
      <c r="P62" s="13" t="n">
        <f aca="false">M62+N62</f>
        <v>82486.3665549732</v>
      </c>
      <c r="Q62" s="13" t="n">
        <f aca="false">Q61+O62</f>
        <v>5621.59163874328</v>
      </c>
      <c r="R62" s="13" t="n">
        <f aca="false">R61+B62</f>
        <v>60000</v>
      </c>
    </row>
    <row r="63" customFormat="false" ht="15" hidden="false" customHeight="false" outlineLevel="0" collapsed="false">
      <c r="A63" s="18" t="n">
        <v>61</v>
      </c>
      <c r="B63" s="13" t="n">
        <f aca="false">Inputs!$C$6</f>
        <v>1000</v>
      </c>
      <c r="C63" s="13" t="n">
        <f aca="false">F62</f>
        <v>82486.3665549732</v>
      </c>
      <c r="D63" s="13" t="n">
        <f aca="false">C63+B63</f>
        <v>83486.3665549732</v>
      </c>
      <c r="E63" s="13" t="n">
        <f aca="false">D63*Inputs!$C$7</f>
        <v>834.863665549732</v>
      </c>
      <c r="F63" s="13" t="n">
        <f aca="false">D63+E63</f>
        <v>84321.2302205229</v>
      </c>
      <c r="G63" s="13" t="n">
        <f aca="false">K62</f>
        <v>89681.6891030505</v>
      </c>
      <c r="H63" s="13" t="n">
        <f aca="false">G63+B63</f>
        <v>90681.6891030505</v>
      </c>
      <c r="I63" s="13" t="n">
        <f aca="false">H63*Inputs!$C$7</f>
        <v>906.816891030505</v>
      </c>
      <c r="J63" s="13" t="n">
        <f aca="false">H63*(Inputs!$C$8/12)</f>
        <v>226.704222757626</v>
      </c>
      <c r="K63" s="13" t="n">
        <f aca="false">H63+I63+J63</f>
        <v>91815.2102168387</v>
      </c>
      <c r="L63" s="13" t="n">
        <f aca="false">P62</f>
        <v>82486.3665549732</v>
      </c>
      <c r="M63" s="13" t="n">
        <f aca="false">L63+B63</f>
        <v>83486.3665549732</v>
      </c>
      <c r="N63" s="13" t="n">
        <f aca="false">M63*Inputs!$C$7</f>
        <v>834.863665549732</v>
      </c>
      <c r="O63" s="13" t="n">
        <f aca="false">M63*(Inputs!$C$8/12)</f>
        <v>208.715916387433</v>
      </c>
      <c r="P63" s="13" t="n">
        <f aca="false">M63+N63</f>
        <v>84321.2302205229</v>
      </c>
      <c r="Q63" s="13" t="n">
        <f aca="false">Q62+O63</f>
        <v>5830.30755513072</v>
      </c>
      <c r="R63" s="13" t="n">
        <f aca="false">R62+B63</f>
        <v>61000</v>
      </c>
    </row>
    <row r="64" customFormat="false" ht="15" hidden="false" customHeight="false" outlineLevel="0" collapsed="false">
      <c r="A64" s="18" t="n">
        <v>62</v>
      </c>
      <c r="B64" s="13" t="n">
        <f aca="false">Inputs!$C$6</f>
        <v>1000</v>
      </c>
      <c r="C64" s="13" t="n">
        <f aca="false">F63</f>
        <v>84321.2302205229</v>
      </c>
      <c r="D64" s="13" t="n">
        <f aca="false">C64+B64</f>
        <v>85321.2302205229</v>
      </c>
      <c r="E64" s="13" t="n">
        <f aca="false">D64*Inputs!$C$7</f>
        <v>853.212302205229</v>
      </c>
      <c r="F64" s="13" t="n">
        <f aca="false">D64+E64</f>
        <v>86174.4425227281</v>
      </c>
      <c r="G64" s="13" t="n">
        <f aca="false">K63</f>
        <v>91815.2102168387</v>
      </c>
      <c r="H64" s="13" t="n">
        <f aca="false">G64+B64</f>
        <v>92815.2102168387</v>
      </c>
      <c r="I64" s="13" t="n">
        <f aca="false">H64*Inputs!$C$7</f>
        <v>928.152102168387</v>
      </c>
      <c r="J64" s="13" t="n">
        <f aca="false">H64*(Inputs!$C$8/12)</f>
        <v>232.038025542097</v>
      </c>
      <c r="K64" s="13" t="n">
        <f aca="false">H64+I64+J64</f>
        <v>93975.4003445491</v>
      </c>
      <c r="L64" s="13" t="n">
        <f aca="false">P63</f>
        <v>84321.2302205229</v>
      </c>
      <c r="M64" s="13" t="n">
        <f aca="false">L64+B64</f>
        <v>85321.2302205229</v>
      </c>
      <c r="N64" s="13" t="n">
        <f aca="false">M64*Inputs!$C$7</f>
        <v>853.212302205229</v>
      </c>
      <c r="O64" s="13" t="n">
        <f aca="false">M64*(Inputs!$C$8/12)</f>
        <v>213.303075551307</v>
      </c>
      <c r="P64" s="13" t="n">
        <f aca="false">M64+N64</f>
        <v>86174.4425227281</v>
      </c>
      <c r="Q64" s="13" t="n">
        <f aca="false">Q63+O64</f>
        <v>6043.61063068202</v>
      </c>
      <c r="R64" s="13" t="n">
        <f aca="false">R63+B64</f>
        <v>62000</v>
      </c>
    </row>
    <row r="65" customFormat="false" ht="15" hidden="false" customHeight="false" outlineLevel="0" collapsed="false">
      <c r="A65" s="18" t="n">
        <v>63</v>
      </c>
      <c r="B65" s="13" t="n">
        <f aca="false">Inputs!$C$6</f>
        <v>1000</v>
      </c>
      <c r="C65" s="13" t="n">
        <f aca="false">F64</f>
        <v>86174.4425227281</v>
      </c>
      <c r="D65" s="13" t="n">
        <f aca="false">C65+B65</f>
        <v>87174.4425227281</v>
      </c>
      <c r="E65" s="13" t="n">
        <f aca="false">D65*Inputs!$C$7</f>
        <v>871.744425227281</v>
      </c>
      <c r="F65" s="13" t="n">
        <f aca="false">D65+E65</f>
        <v>88046.1869479554</v>
      </c>
      <c r="G65" s="13" t="n">
        <f aca="false">K64</f>
        <v>93975.4003445491</v>
      </c>
      <c r="H65" s="13" t="n">
        <f aca="false">G65+B65</f>
        <v>94975.4003445491</v>
      </c>
      <c r="I65" s="13" t="n">
        <f aca="false">H65*Inputs!$C$7</f>
        <v>949.754003445491</v>
      </c>
      <c r="J65" s="13" t="n">
        <f aca="false">H65*(Inputs!$C$8/12)</f>
        <v>237.438500861373</v>
      </c>
      <c r="K65" s="13" t="n">
        <f aca="false">H65+I65+J65</f>
        <v>96162.592848856</v>
      </c>
      <c r="L65" s="13" t="n">
        <f aca="false">P64</f>
        <v>86174.4425227281</v>
      </c>
      <c r="M65" s="13" t="n">
        <f aca="false">L65+B65</f>
        <v>87174.4425227281</v>
      </c>
      <c r="N65" s="13" t="n">
        <f aca="false">M65*Inputs!$C$7</f>
        <v>871.744425227281</v>
      </c>
      <c r="O65" s="13" t="n">
        <f aca="false">M65*(Inputs!$C$8/12)</f>
        <v>217.93610630682</v>
      </c>
      <c r="P65" s="13" t="n">
        <f aca="false">M65+N65</f>
        <v>88046.1869479554</v>
      </c>
      <c r="Q65" s="13" t="n">
        <f aca="false">Q64+O65</f>
        <v>6261.54673698884</v>
      </c>
      <c r="R65" s="13" t="n">
        <f aca="false">R64+B65</f>
        <v>63000</v>
      </c>
    </row>
    <row r="66" customFormat="false" ht="15" hidden="false" customHeight="false" outlineLevel="0" collapsed="false">
      <c r="A66" s="18" t="n">
        <v>64</v>
      </c>
      <c r="B66" s="13" t="n">
        <f aca="false">Inputs!$C$6</f>
        <v>1000</v>
      </c>
      <c r="C66" s="13" t="n">
        <f aca="false">F65</f>
        <v>88046.1869479554</v>
      </c>
      <c r="D66" s="13" t="n">
        <f aca="false">C66+B66</f>
        <v>89046.1869479554</v>
      </c>
      <c r="E66" s="13" t="n">
        <f aca="false">D66*Inputs!$C$7</f>
        <v>890.461869479554</v>
      </c>
      <c r="F66" s="13" t="n">
        <f aca="false">D66+E66</f>
        <v>89936.648817435</v>
      </c>
      <c r="G66" s="13" t="n">
        <f aca="false">K65</f>
        <v>96162.592848856</v>
      </c>
      <c r="H66" s="13" t="n">
        <f aca="false">G66+B66</f>
        <v>97162.592848856</v>
      </c>
      <c r="I66" s="13" t="n">
        <f aca="false">H66*Inputs!$C$7</f>
        <v>971.62592848856</v>
      </c>
      <c r="J66" s="13" t="n">
        <f aca="false">H66*(Inputs!$C$8/12)</f>
        <v>242.90648212214</v>
      </c>
      <c r="K66" s="13" t="n">
        <f aca="false">H66+I66+J66</f>
        <v>98377.1252594667</v>
      </c>
      <c r="L66" s="13" t="n">
        <f aca="false">P65</f>
        <v>88046.1869479554</v>
      </c>
      <c r="M66" s="13" t="n">
        <f aca="false">L66+B66</f>
        <v>89046.1869479554</v>
      </c>
      <c r="N66" s="13" t="n">
        <f aca="false">M66*Inputs!$C$7</f>
        <v>890.461869479554</v>
      </c>
      <c r="O66" s="13" t="n">
        <f aca="false">M66*(Inputs!$C$8/12)</f>
        <v>222.615467369889</v>
      </c>
      <c r="P66" s="13" t="n">
        <f aca="false">M66+N66</f>
        <v>89936.648817435</v>
      </c>
      <c r="Q66" s="13" t="n">
        <f aca="false">Q65+O66</f>
        <v>6484.16220435873</v>
      </c>
      <c r="R66" s="13" t="n">
        <f aca="false">R65+B66</f>
        <v>64000</v>
      </c>
    </row>
    <row r="67" customFormat="false" ht="15" hidden="false" customHeight="false" outlineLevel="0" collapsed="false">
      <c r="A67" s="18" t="n">
        <v>65</v>
      </c>
      <c r="B67" s="13" t="n">
        <f aca="false">Inputs!$C$6</f>
        <v>1000</v>
      </c>
      <c r="C67" s="13" t="n">
        <f aca="false">F66</f>
        <v>89936.648817435</v>
      </c>
      <c r="D67" s="13" t="n">
        <f aca="false">C67+B67</f>
        <v>90936.648817435</v>
      </c>
      <c r="E67" s="13" t="n">
        <f aca="false">D67*Inputs!$C$7</f>
        <v>909.36648817435</v>
      </c>
      <c r="F67" s="13" t="n">
        <f aca="false">D67+E67</f>
        <v>91846.0153056093</v>
      </c>
      <c r="G67" s="13" t="n">
        <f aca="false">K66</f>
        <v>98377.1252594667</v>
      </c>
      <c r="H67" s="13" t="n">
        <f aca="false">G67+B67</f>
        <v>99377.1252594667</v>
      </c>
      <c r="I67" s="13" t="n">
        <f aca="false">H67*Inputs!$C$7</f>
        <v>993.771252594667</v>
      </c>
      <c r="J67" s="13" t="n">
        <f aca="false">H67*(Inputs!$C$8/12)</f>
        <v>248.442813148667</v>
      </c>
      <c r="K67" s="13" t="n">
        <f aca="false">H67+I67+J67</f>
        <v>100619.33932521</v>
      </c>
      <c r="L67" s="13" t="n">
        <f aca="false">P66</f>
        <v>89936.648817435</v>
      </c>
      <c r="M67" s="13" t="n">
        <f aca="false">L67+B67</f>
        <v>90936.648817435</v>
      </c>
      <c r="N67" s="13" t="n">
        <f aca="false">M67*Inputs!$C$7</f>
        <v>909.36648817435</v>
      </c>
      <c r="O67" s="13" t="n">
        <f aca="false">M67*(Inputs!$C$8/12)</f>
        <v>227.341622043587</v>
      </c>
      <c r="P67" s="13" t="n">
        <f aca="false">M67+N67</f>
        <v>91846.0153056093</v>
      </c>
      <c r="Q67" s="13" t="n">
        <f aca="false">Q66+O67</f>
        <v>6711.50382640232</v>
      </c>
      <c r="R67" s="13" t="n">
        <f aca="false">R66+B67</f>
        <v>65000</v>
      </c>
    </row>
    <row r="68" customFormat="false" ht="15" hidden="false" customHeight="false" outlineLevel="0" collapsed="false">
      <c r="A68" s="18" t="n">
        <v>66</v>
      </c>
      <c r="B68" s="13" t="n">
        <f aca="false">Inputs!$C$6</f>
        <v>1000</v>
      </c>
      <c r="C68" s="13" t="n">
        <f aca="false">F67</f>
        <v>91846.0153056093</v>
      </c>
      <c r="D68" s="13" t="n">
        <f aca="false">C68+B68</f>
        <v>92846.0153056093</v>
      </c>
      <c r="E68" s="13" t="n">
        <f aca="false">D68*Inputs!$C$7</f>
        <v>928.460153056093</v>
      </c>
      <c r="F68" s="13" t="n">
        <f aca="false">D68+E68</f>
        <v>93774.4754586654</v>
      </c>
      <c r="G68" s="13" t="n">
        <f aca="false">K67</f>
        <v>100619.33932521</v>
      </c>
      <c r="H68" s="13" t="n">
        <f aca="false">G68+B68</f>
        <v>101619.33932521</v>
      </c>
      <c r="I68" s="13" t="n">
        <f aca="false">H68*Inputs!$C$7</f>
        <v>1016.1933932521</v>
      </c>
      <c r="J68" s="13" t="n">
        <f aca="false">H68*(Inputs!$C$8/12)</f>
        <v>254.048348313025</v>
      </c>
      <c r="K68" s="13" t="n">
        <f aca="false">H68+I68+J68</f>
        <v>102889.581066775</v>
      </c>
      <c r="L68" s="13" t="n">
        <f aca="false">P67</f>
        <v>91846.0153056093</v>
      </c>
      <c r="M68" s="13" t="n">
        <f aca="false">L68+B68</f>
        <v>92846.0153056093</v>
      </c>
      <c r="N68" s="13" t="n">
        <f aca="false">M68*Inputs!$C$7</f>
        <v>928.460153056093</v>
      </c>
      <c r="O68" s="13" t="n">
        <f aca="false">M68*(Inputs!$C$8/12)</f>
        <v>232.115038264023</v>
      </c>
      <c r="P68" s="13" t="n">
        <f aca="false">M68+N68</f>
        <v>93774.4754586654</v>
      </c>
      <c r="Q68" s="13" t="n">
        <f aca="false">Q67+O68</f>
        <v>6943.61886466634</v>
      </c>
      <c r="R68" s="13" t="n">
        <f aca="false">R67+B68</f>
        <v>66000</v>
      </c>
    </row>
    <row r="69" customFormat="false" ht="15" hidden="false" customHeight="false" outlineLevel="0" collapsed="false">
      <c r="A69" s="18" t="n">
        <v>67</v>
      </c>
      <c r="B69" s="13" t="n">
        <f aca="false">Inputs!$C$6</f>
        <v>1000</v>
      </c>
      <c r="C69" s="13" t="n">
        <f aca="false">F68</f>
        <v>93774.4754586654</v>
      </c>
      <c r="D69" s="13" t="n">
        <f aca="false">C69+B69</f>
        <v>94774.4754586654</v>
      </c>
      <c r="E69" s="13" t="n">
        <f aca="false">D69*Inputs!$C$7</f>
        <v>947.744754586654</v>
      </c>
      <c r="F69" s="13" t="n">
        <f aca="false">D69+E69</f>
        <v>95722.2202132521</v>
      </c>
      <c r="G69" s="13" t="n">
        <f aca="false">K68</f>
        <v>102889.581066775</v>
      </c>
      <c r="H69" s="13" t="n">
        <f aca="false">G69+B69</f>
        <v>103889.581066775</v>
      </c>
      <c r="I69" s="13" t="n">
        <f aca="false">H69*Inputs!$C$7</f>
        <v>1038.89581066775</v>
      </c>
      <c r="J69" s="13" t="n">
        <f aca="false">H69*(Inputs!$C$8/12)</f>
        <v>259.723952666938</v>
      </c>
      <c r="K69" s="13" t="n">
        <f aca="false">H69+I69+J69</f>
        <v>105188.20083011</v>
      </c>
      <c r="L69" s="13" t="n">
        <f aca="false">P68</f>
        <v>93774.4754586654</v>
      </c>
      <c r="M69" s="13" t="n">
        <f aca="false">L69+B69</f>
        <v>94774.4754586654</v>
      </c>
      <c r="N69" s="13" t="n">
        <f aca="false">M69*Inputs!$C$7</f>
        <v>947.744754586654</v>
      </c>
      <c r="O69" s="13" t="n">
        <f aca="false">M69*(Inputs!$C$8/12)</f>
        <v>236.936188646663</v>
      </c>
      <c r="P69" s="13" t="n">
        <f aca="false">M69+N69</f>
        <v>95722.2202132521</v>
      </c>
      <c r="Q69" s="13" t="n">
        <f aca="false">Q68+O69</f>
        <v>7180.55505331301</v>
      </c>
      <c r="R69" s="13" t="n">
        <f aca="false">R68+B69</f>
        <v>67000</v>
      </c>
    </row>
    <row r="70" customFormat="false" ht="15" hidden="false" customHeight="false" outlineLevel="0" collapsed="false">
      <c r="A70" s="18" t="n">
        <v>68</v>
      </c>
      <c r="B70" s="13" t="n">
        <f aca="false">Inputs!$C$6</f>
        <v>1000</v>
      </c>
      <c r="C70" s="13" t="n">
        <f aca="false">F69</f>
        <v>95722.2202132521</v>
      </c>
      <c r="D70" s="13" t="n">
        <f aca="false">C70+B70</f>
        <v>96722.2202132521</v>
      </c>
      <c r="E70" s="13" t="n">
        <f aca="false">D70*Inputs!$C$7</f>
        <v>967.222202132521</v>
      </c>
      <c r="F70" s="13" t="n">
        <f aca="false">D70+E70</f>
        <v>97689.4424153846</v>
      </c>
      <c r="G70" s="13" t="n">
        <f aca="false">K69</f>
        <v>105188.20083011</v>
      </c>
      <c r="H70" s="13" t="n">
        <f aca="false">G70+B70</f>
        <v>106188.20083011</v>
      </c>
      <c r="I70" s="13" t="n">
        <f aca="false">H70*Inputs!$C$7</f>
        <v>1061.8820083011</v>
      </c>
      <c r="J70" s="13" t="n">
        <f aca="false">H70*(Inputs!$C$8/12)</f>
        <v>265.470502075275</v>
      </c>
      <c r="K70" s="13" t="n">
        <f aca="false">H70+I70+J70</f>
        <v>107515.553340486</v>
      </c>
      <c r="L70" s="13" t="n">
        <f aca="false">P69</f>
        <v>95722.2202132521</v>
      </c>
      <c r="M70" s="13" t="n">
        <f aca="false">L70+B70</f>
        <v>96722.2202132521</v>
      </c>
      <c r="N70" s="13" t="n">
        <f aca="false">M70*Inputs!$C$7</f>
        <v>967.222202132521</v>
      </c>
      <c r="O70" s="13" t="n">
        <f aca="false">M70*(Inputs!$C$8/12)</f>
        <v>241.80555053313</v>
      </c>
      <c r="P70" s="13" t="n">
        <f aca="false">M70+N70</f>
        <v>97689.4424153846</v>
      </c>
      <c r="Q70" s="13" t="n">
        <f aca="false">Q69+O70</f>
        <v>7422.36060384614</v>
      </c>
      <c r="R70" s="13" t="n">
        <f aca="false">R69+B70</f>
        <v>68000</v>
      </c>
    </row>
    <row r="71" customFormat="false" ht="15" hidden="false" customHeight="false" outlineLevel="0" collapsed="false">
      <c r="A71" s="18" t="n">
        <v>69</v>
      </c>
      <c r="B71" s="13" t="n">
        <f aca="false">Inputs!$C$6</f>
        <v>1000</v>
      </c>
      <c r="C71" s="13" t="n">
        <f aca="false">F70</f>
        <v>97689.4424153846</v>
      </c>
      <c r="D71" s="13" t="n">
        <f aca="false">C71+B71</f>
        <v>98689.4424153846</v>
      </c>
      <c r="E71" s="13" t="n">
        <f aca="false">D71*Inputs!$C$7</f>
        <v>986.894424153846</v>
      </c>
      <c r="F71" s="13" t="n">
        <f aca="false">D71+E71</f>
        <v>99676.3368395384</v>
      </c>
      <c r="G71" s="13" t="n">
        <f aca="false">K70</f>
        <v>107515.553340486</v>
      </c>
      <c r="H71" s="13" t="n">
        <f aca="false">G71+B71</f>
        <v>108515.553340486</v>
      </c>
      <c r="I71" s="13" t="n">
        <f aca="false">H71*Inputs!$C$7</f>
        <v>1085.15553340486</v>
      </c>
      <c r="J71" s="13" t="n">
        <f aca="false">H71*(Inputs!$C$8/12)</f>
        <v>271.288883351216</v>
      </c>
      <c r="K71" s="13" t="n">
        <f aca="false">H71+I71+J71</f>
        <v>109871.997757242</v>
      </c>
      <c r="L71" s="13" t="n">
        <f aca="false">P70</f>
        <v>97689.4424153846</v>
      </c>
      <c r="M71" s="13" t="n">
        <f aca="false">L71+B71</f>
        <v>98689.4424153846</v>
      </c>
      <c r="N71" s="13" t="n">
        <f aca="false">M71*Inputs!$C$7</f>
        <v>986.894424153846</v>
      </c>
      <c r="O71" s="13" t="n">
        <f aca="false">M71*(Inputs!$C$8/12)</f>
        <v>246.723606038461</v>
      </c>
      <c r="P71" s="13" t="n">
        <f aca="false">M71+N71</f>
        <v>99676.3368395384</v>
      </c>
      <c r="Q71" s="13" t="n">
        <f aca="false">Q70+O71</f>
        <v>7669.0842098846</v>
      </c>
      <c r="R71" s="13" t="n">
        <f aca="false">R70+B71</f>
        <v>69000</v>
      </c>
    </row>
    <row r="72" customFormat="false" ht="15" hidden="false" customHeight="false" outlineLevel="0" collapsed="false">
      <c r="A72" s="18" t="n">
        <v>70</v>
      </c>
      <c r="B72" s="13" t="n">
        <f aca="false">Inputs!$C$6</f>
        <v>1000</v>
      </c>
      <c r="C72" s="13" t="n">
        <f aca="false">F71</f>
        <v>99676.3368395384</v>
      </c>
      <c r="D72" s="13" t="n">
        <f aca="false">C72+B72</f>
        <v>100676.336839538</v>
      </c>
      <c r="E72" s="13" t="n">
        <f aca="false">D72*Inputs!$C$7</f>
        <v>1006.76336839538</v>
      </c>
      <c r="F72" s="13" t="n">
        <f aca="false">D72+E72</f>
        <v>101683.100207934</v>
      </c>
      <c r="G72" s="13" t="n">
        <f aca="false">K71</f>
        <v>109871.997757242</v>
      </c>
      <c r="H72" s="13" t="n">
        <f aca="false">G72+B72</f>
        <v>110871.997757242</v>
      </c>
      <c r="I72" s="13" t="n">
        <f aca="false">H72*Inputs!$C$7</f>
        <v>1108.71997757242</v>
      </c>
      <c r="J72" s="13" t="n">
        <f aca="false">H72*(Inputs!$C$8/12)</f>
        <v>277.179994393106</v>
      </c>
      <c r="K72" s="13" t="n">
        <f aca="false">H72+I72+J72</f>
        <v>112257.897729208</v>
      </c>
      <c r="L72" s="13" t="n">
        <f aca="false">P71</f>
        <v>99676.3368395384</v>
      </c>
      <c r="M72" s="13" t="n">
        <f aca="false">L72+B72</f>
        <v>100676.336839538</v>
      </c>
      <c r="N72" s="13" t="n">
        <f aca="false">M72*Inputs!$C$7</f>
        <v>1006.76336839538</v>
      </c>
      <c r="O72" s="13" t="n">
        <f aca="false">M72*(Inputs!$C$8/12)</f>
        <v>251.690842098846</v>
      </c>
      <c r="P72" s="13" t="n">
        <f aca="false">M72+N72</f>
        <v>101683.100207934</v>
      </c>
      <c r="Q72" s="13" t="n">
        <f aca="false">Q71+O72</f>
        <v>7920.77505198344</v>
      </c>
      <c r="R72" s="13" t="n">
        <f aca="false">R71+B72</f>
        <v>70000</v>
      </c>
    </row>
    <row r="73" customFormat="false" ht="15" hidden="false" customHeight="false" outlineLevel="0" collapsed="false">
      <c r="A73" s="18" t="n">
        <v>71</v>
      </c>
      <c r="B73" s="13" t="n">
        <f aca="false">Inputs!$C$6</f>
        <v>1000</v>
      </c>
      <c r="C73" s="13" t="n">
        <f aca="false">F72</f>
        <v>101683.100207934</v>
      </c>
      <c r="D73" s="13" t="n">
        <f aca="false">C73+B73</f>
        <v>102683.100207934</v>
      </c>
      <c r="E73" s="13" t="n">
        <f aca="false">D73*Inputs!$C$7</f>
        <v>1026.83100207934</v>
      </c>
      <c r="F73" s="13" t="n">
        <f aca="false">D73+E73</f>
        <v>103709.931210013</v>
      </c>
      <c r="G73" s="13" t="n">
        <f aca="false">K72</f>
        <v>112257.897729208</v>
      </c>
      <c r="H73" s="13" t="n">
        <f aca="false">G73+B73</f>
        <v>113257.897729208</v>
      </c>
      <c r="I73" s="13" t="n">
        <f aca="false">H73*Inputs!$C$7</f>
        <v>1132.57897729208</v>
      </c>
      <c r="J73" s="13" t="n">
        <f aca="false">H73*(Inputs!$C$8/12)</f>
        <v>283.14474432302</v>
      </c>
      <c r="K73" s="13" t="n">
        <f aca="false">H73+I73+J73</f>
        <v>114673.621450823</v>
      </c>
      <c r="L73" s="13" t="n">
        <f aca="false">P72</f>
        <v>101683.100207934</v>
      </c>
      <c r="M73" s="13" t="n">
        <f aca="false">L73+B73</f>
        <v>102683.100207934</v>
      </c>
      <c r="N73" s="13" t="n">
        <f aca="false">M73*Inputs!$C$7</f>
        <v>1026.83100207934</v>
      </c>
      <c r="O73" s="13" t="n">
        <f aca="false">M73*(Inputs!$C$8/12)</f>
        <v>256.707750519834</v>
      </c>
      <c r="P73" s="13" t="n">
        <f aca="false">M73+N73</f>
        <v>103709.931210013</v>
      </c>
      <c r="Q73" s="13" t="n">
        <f aca="false">Q72+O73</f>
        <v>8177.48280250328</v>
      </c>
      <c r="R73" s="13" t="n">
        <f aca="false">R72+B73</f>
        <v>71000</v>
      </c>
    </row>
    <row r="74" customFormat="false" ht="15" hidden="false" customHeight="false" outlineLevel="0" collapsed="false">
      <c r="A74" s="18" t="n">
        <v>72</v>
      </c>
      <c r="B74" s="13" t="n">
        <f aca="false">Inputs!$C$6</f>
        <v>1000</v>
      </c>
      <c r="C74" s="13" t="n">
        <f aca="false">F73</f>
        <v>103709.931210013</v>
      </c>
      <c r="D74" s="13" t="n">
        <f aca="false">C74+B74</f>
        <v>104709.931210013</v>
      </c>
      <c r="E74" s="13" t="n">
        <f aca="false">D74*Inputs!$C$7</f>
        <v>1047.09931210013</v>
      </c>
      <c r="F74" s="13" t="n">
        <f aca="false">D74+E74</f>
        <v>105757.030522113</v>
      </c>
      <c r="G74" s="13" t="n">
        <f aca="false">K73</f>
        <v>114673.621450823</v>
      </c>
      <c r="H74" s="13" t="n">
        <f aca="false">G74+B74</f>
        <v>115673.621450823</v>
      </c>
      <c r="I74" s="13" t="n">
        <f aca="false">H74*Inputs!$C$7</f>
        <v>1156.73621450823</v>
      </c>
      <c r="J74" s="13" t="n">
        <f aca="false">H74*(Inputs!$C$8/12)</f>
        <v>289.184053627057</v>
      </c>
      <c r="K74" s="13" t="n">
        <f aca="false">H74+I74+J74</f>
        <v>117119.541718958</v>
      </c>
      <c r="L74" s="13" t="n">
        <f aca="false">P73</f>
        <v>103709.931210013</v>
      </c>
      <c r="M74" s="13" t="n">
        <f aca="false">L74+B74</f>
        <v>104709.931210013</v>
      </c>
      <c r="N74" s="13" t="n">
        <f aca="false">M74*Inputs!$C$7</f>
        <v>1047.09931210013</v>
      </c>
      <c r="O74" s="13" t="n">
        <f aca="false">M74*(Inputs!$C$8/12)</f>
        <v>261.774828025033</v>
      </c>
      <c r="P74" s="13" t="n">
        <f aca="false">M74+N74</f>
        <v>105757.030522113</v>
      </c>
      <c r="Q74" s="13" t="n">
        <f aca="false">Q73+O74</f>
        <v>8439.25763052831</v>
      </c>
      <c r="R74" s="13" t="n">
        <f aca="false">R73+B74</f>
        <v>72000</v>
      </c>
    </row>
    <row r="75" customFormat="false" ht="15" hidden="false" customHeight="false" outlineLevel="0" collapsed="false">
      <c r="A75" s="18" t="n">
        <v>73</v>
      </c>
      <c r="B75" s="13" t="n">
        <f aca="false">Inputs!$C$6</f>
        <v>1000</v>
      </c>
      <c r="C75" s="13" t="n">
        <f aca="false">F74</f>
        <v>105757.030522113</v>
      </c>
      <c r="D75" s="13" t="n">
        <f aca="false">C75+B75</f>
        <v>106757.030522113</v>
      </c>
      <c r="E75" s="13" t="n">
        <f aca="false">D75*Inputs!$C$7</f>
        <v>1067.57030522113</v>
      </c>
      <c r="F75" s="13" t="n">
        <f aca="false">D75+E75</f>
        <v>107824.600827334</v>
      </c>
      <c r="G75" s="13" t="n">
        <f aca="false">K74</f>
        <v>117119.541718958</v>
      </c>
      <c r="H75" s="13" t="n">
        <f aca="false">G75+B75</f>
        <v>118119.541718958</v>
      </c>
      <c r="I75" s="13" t="n">
        <f aca="false">H75*Inputs!$C$7</f>
        <v>1181.19541718958</v>
      </c>
      <c r="J75" s="13" t="n">
        <f aca="false">H75*(Inputs!$C$8/12)</f>
        <v>295.298854297396</v>
      </c>
      <c r="K75" s="13" t="n">
        <f aca="false">H75+I75+J75</f>
        <v>119596.035990445</v>
      </c>
      <c r="L75" s="13" t="n">
        <f aca="false">P74</f>
        <v>105757.030522113</v>
      </c>
      <c r="M75" s="13" t="n">
        <f aca="false">L75+B75</f>
        <v>106757.030522113</v>
      </c>
      <c r="N75" s="13" t="n">
        <f aca="false">M75*Inputs!$C$7</f>
        <v>1067.57030522113</v>
      </c>
      <c r="O75" s="13" t="n">
        <f aca="false">M75*(Inputs!$C$8/12)</f>
        <v>266.892576305283</v>
      </c>
      <c r="P75" s="13" t="n">
        <f aca="false">M75+N75</f>
        <v>107824.600827334</v>
      </c>
      <c r="Q75" s="13" t="n">
        <f aca="false">Q74+O75</f>
        <v>8706.15020683359</v>
      </c>
      <c r="R75" s="13" t="n">
        <f aca="false">R74+B75</f>
        <v>73000</v>
      </c>
    </row>
    <row r="76" customFormat="false" ht="15" hidden="false" customHeight="false" outlineLevel="0" collapsed="false">
      <c r="A76" s="18" t="n">
        <v>74</v>
      </c>
      <c r="B76" s="13" t="n">
        <f aca="false">Inputs!$C$6</f>
        <v>1000</v>
      </c>
      <c r="C76" s="13" t="n">
        <f aca="false">F75</f>
        <v>107824.600827334</v>
      </c>
      <c r="D76" s="13" t="n">
        <f aca="false">C76+B76</f>
        <v>108824.600827334</v>
      </c>
      <c r="E76" s="13" t="n">
        <f aca="false">D76*Inputs!$C$7</f>
        <v>1088.24600827334</v>
      </c>
      <c r="F76" s="13" t="n">
        <f aca="false">D76+E76</f>
        <v>109912.846835608</v>
      </c>
      <c r="G76" s="13" t="n">
        <f aca="false">K75</f>
        <v>119596.035990445</v>
      </c>
      <c r="H76" s="13" t="n">
        <f aca="false">G76+B76</f>
        <v>120596.035990445</v>
      </c>
      <c r="I76" s="13" t="n">
        <f aca="false">H76*Inputs!$C$7</f>
        <v>1205.96035990445</v>
      </c>
      <c r="J76" s="13" t="n">
        <f aca="false">H76*(Inputs!$C$8/12)</f>
        <v>301.490089976113</v>
      </c>
      <c r="K76" s="13" t="n">
        <f aca="false">H76+I76+J76</f>
        <v>122103.486440326</v>
      </c>
      <c r="L76" s="13" t="n">
        <f aca="false">P75</f>
        <v>107824.600827334</v>
      </c>
      <c r="M76" s="13" t="n">
        <f aca="false">L76+B76</f>
        <v>108824.600827334</v>
      </c>
      <c r="N76" s="13" t="n">
        <f aca="false">M76*Inputs!$C$7</f>
        <v>1088.24600827334</v>
      </c>
      <c r="O76" s="13" t="n">
        <f aca="false">M76*(Inputs!$C$8/12)</f>
        <v>272.061502068336</v>
      </c>
      <c r="P76" s="13" t="n">
        <f aca="false">M76+N76</f>
        <v>109912.846835608</v>
      </c>
      <c r="Q76" s="13" t="n">
        <f aca="false">Q75+O76</f>
        <v>8978.21170890193</v>
      </c>
      <c r="R76" s="13" t="n">
        <f aca="false">R75+B76</f>
        <v>74000</v>
      </c>
    </row>
    <row r="77" customFormat="false" ht="15" hidden="false" customHeight="false" outlineLevel="0" collapsed="false">
      <c r="A77" s="18" t="n">
        <v>75</v>
      </c>
      <c r="B77" s="13" t="n">
        <f aca="false">Inputs!$C$6</f>
        <v>1000</v>
      </c>
      <c r="C77" s="13" t="n">
        <f aca="false">F76</f>
        <v>109912.846835608</v>
      </c>
      <c r="D77" s="13" t="n">
        <f aca="false">C77+B77</f>
        <v>110912.846835608</v>
      </c>
      <c r="E77" s="13" t="n">
        <f aca="false">D77*Inputs!$C$7</f>
        <v>1109.12846835608</v>
      </c>
      <c r="F77" s="13" t="n">
        <f aca="false">D77+E77</f>
        <v>112021.975303964</v>
      </c>
      <c r="G77" s="13" t="n">
        <f aca="false">K76</f>
        <v>122103.486440326</v>
      </c>
      <c r="H77" s="13" t="n">
        <f aca="false">G77+B77</f>
        <v>123103.486440326</v>
      </c>
      <c r="I77" s="13" t="n">
        <f aca="false">H77*Inputs!$C$7</f>
        <v>1231.03486440326</v>
      </c>
      <c r="J77" s="13" t="n">
        <f aca="false">H77*(Inputs!$C$8/12)</f>
        <v>307.758716100814</v>
      </c>
      <c r="K77" s="13" t="n">
        <f aca="false">H77+I77+J77</f>
        <v>124642.28002083</v>
      </c>
      <c r="L77" s="13" t="n">
        <f aca="false">P76</f>
        <v>109912.846835608</v>
      </c>
      <c r="M77" s="13" t="n">
        <f aca="false">L77+B77</f>
        <v>110912.846835608</v>
      </c>
      <c r="N77" s="13" t="n">
        <f aca="false">M77*Inputs!$C$7</f>
        <v>1109.12846835608</v>
      </c>
      <c r="O77" s="13" t="n">
        <f aca="false">M77*(Inputs!$C$8/12)</f>
        <v>277.282117089019</v>
      </c>
      <c r="P77" s="13" t="n">
        <f aca="false">M77+N77</f>
        <v>112021.975303964</v>
      </c>
      <c r="Q77" s="13" t="n">
        <f aca="false">Q76+O77</f>
        <v>9255.49382599095</v>
      </c>
      <c r="R77" s="13" t="n">
        <f aca="false">R76+B77</f>
        <v>75000</v>
      </c>
    </row>
    <row r="78" customFormat="false" ht="15" hidden="false" customHeight="false" outlineLevel="0" collapsed="false">
      <c r="A78" s="18" t="n">
        <v>76</v>
      </c>
      <c r="B78" s="13" t="n">
        <f aca="false">Inputs!$C$6</f>
        <v>1000</v>
      </c>
      <c r="C78" s="13" t="n">
        <f aca="false">F77</f>
        <v>112021.975303964</v>
      </c>
      <c r="D78" s="13" t="n">
        <f aca="false">C78+B78</f>
        <v>113021.975303964</v>
      </c>
      <c r="E78" s="13" t="n">
        <f aca="false">D78*Inputs!$C$7</f>
        <v>1130.21975303964</v>
      </c>
      <c r="F78" s="13" t="n">
        <f aca="false">D78+E78</f>
        <v>114152.195057003</v>
      </c>
      <c r="G78" s="13" t="n">
        <f aca="false">K77</f>
        <v>124642.28002083</v>
      </c>
      <c r="H78" s="13" t="n">
        <f aca="false">G78+B78</f>
        <v>125642.28002083</v>
      </c>
      <c r="I78" s="13" t="n">
        <f aca="false">H78*Inputs!$C$7</f>
        <v>1256.4228002083</v>
      </c>
      <c r="J78" s="13" t="n">
        <f aca="false">H78*(Inputs!$C$8/12)</f>
        <v>314.105700052075</v>
      </c>
      <c r="K78" s="13" t="n">
        <f aca="false">H78+I78+J78</f>
        <v>127212.80852109</v>
      </c>
      <c r="L78" s="13" t="n">
        <f aca="false">P77</f>
        <v>112021.975303964</v>
      </c>
      <c r="M78" s="13" t="n">
        <f aca="false">L78+B78</f>
        <v>113021.975303964</v>
      </c>
      <c r="N78" s="13" t="n">
        <f aca="false">M78*Inputs!$C$7</f>
        <v>1130.21975303964</v>
      </c>
      <c r="O78" s="13" t="n">
        <f aca="false">M78*(Inputs!$C$8/12)</f>
        <v>282.55493825991</v>
      </c>
      <c r="P78" s="13" t="n">
        <f aca="false">M78+N78</f>
        <v>114152.195057003</v>
      </c>
      <c r="Q78" s="13" t="n">
        <f aca="false">Q77+O78</f>
        <v>9538.04876425086</v>
      </c>
      <c r="R78" s="13" t="n">
        <f aca="false">R77+B78</f>
        <v>76000</v>
      </c>
    </row>
    <row r="79" customFormat="false" ht="15" hidden="false" customHeight="false" outlineLevel="0" collapsed="false">
      <c r="A79" s="18" t="n">
        <v>77</v>
      </c>
      <c r="B79" s="13" t="n">
        <f aca="false">Inputs!$C$6</f>
        <v>1000</v>
      </c>
      <c r="C79" s="13" t="n">
        <f aca="false">F78</f>
        <v>114152.195057003</v>
      </c>
      <c r="D79" s="13" t="n">
        <f aca="false">C79+B79</f>
        <v>115152.195057003</v>
      </c>
      <c r="E79" s="13" t="n">
        <f aca="false">D79*Inputs!$C$7</f>
        <v>1151.52195057003</v>
      </c>
      <c r="F79" s="13" t="n">
        <f aca="false">D79+E79</f>
        <v>116303.717007574</v>
      </c>
      <c r="G79" s="13" t="n">
        <f aca="false">K78</f>
        <v>127212.80852109</v>
      </c>
      <c r="H79" s="13" t="n">
        <f aca="false">G79+B79</f>
        <v>128212.80852109</v>
      </c>
      <c r="I79" s="13" t="n">
        <f aca="false">H79*Inputs!$C$7</f>
        <v>1282.1280852109</v>
      </c>
      <c r="J79" s="13" t="n">
        <f aca="false">H79*(Inputs!$C$8/12)</f>
        <v>320.532021302725</v>
      </c>
      <c r="K79" s="13" t="n">
        <f aca="false">H79+I79+J79</f>
        <v>129815.468627604</v>
      </c>
      <c r="L79" s="13" t="n">
        <f aca="false">P78</f>
        <v>114152.195057003</v>
      </c>
      <c r="M79" s="13" t="n">
        <f aca="false">L79+B79</f>
        <v>115152.195057003</v>
      </c>
      <c r="N79" s="13" t="n">
        <f aca="false">M79*Inputs!$C$7</f>
        <v>1151.52195057003</v>
      </c>
      <c r="O79" s="13" t="n">
        <f aca="false">M79*(Inputs!$C$8/12)</f>
        <v>287.880487642509</v>
      </c>
      <c r="P79" s="13" t="n">
        <f aca="false">M79+N79</f>
        <v>116303.717007574</v>
      </c>
      <c r="Q79" s="13" t="n">
        <f aca="false">Q78+O79</f>
        <v>9825.92925189337</v>
      </c>
      <c r="R79" s="13" t="n">
        <f aca="false">R78+B79</f>
        <v>77000</v>
      </c>
    </row>
    <row r="80" customFormat="false" ht="15" hidden="false" customHeight="false" outlineLevel="0" collapsed="false">
      <c r="A80" s="18" t="n">
        <v>78</v>
      </c>
      <c r="B80" s="13" t="n">
        <f aca="false">Inputs!$C$6</f>
        <v>1000</v>
      </c>
      <c r="C80" s="13" t="n">
        <f aca="false">F79</f>
        <v>116303.717007574</v>
      </c>
      <c r="D80" s="13" t="n">
        <f aca="false">C80+B80</f>
        <v>117303.717007574</v>
      </c>
      <c r="E80" s="13" t="n">
        <f aca="false">D80*Inputs!$C$7</f>
        <v>1173.03717007574</v>
      </c>
      <c r="F80" s="13" t="n">
        <f aca="false">D80+E80</f>
        <v>118476.754177649</v>
      </c>
      <c r="G80" s="13" t="n">
        <f aca="false">K79</f>
        <v>129815.468627604</v>
      </c>
      <c r="H80" s="13" t="n">
        <f aca="false">G80+B80</f>
        <v>130815.468627604</v>
      </c>
      <c r="I80" s="13" t="n">
        <f aca="false">H80*Inputs!$C$7</f>
        <v>1308.15468627604</v>
      </c>
      <c r="J80" s="13" t="n">
        <f aca="false">H80*(Inputs!$C$8/12)</f>
        <v>327.03867156901</v>
      </c>
      <c r="K80" s="13" t="n">
        <f aca="false">H80+I80+J80</f>
        <v>132450.661985449</v>
      </c>
      <c r="L80" s="13" t="n">
        <f aca="false">P79</f>
        <v>116303.717007574</v>
      </c>
      <c r="M80" s="13" t="n">
        <f aca="false">L80+B80</f>
        <v>117303.717007574</v>
      </c>
      <c r="N80" s="13" t="n">
        <f aca="false">M80*Inputs!$C$7</f>
        <v>1173.03717007574</v>
      </c>
      <c r="O80" s="13" t="n">
        <f aca="false">M80*(Inputs!$C$8/12)</f>
        <v>293.259292518934</v>
      </c>
      <c r="P80" s="13" t="n">
        <f aca="false">M80+N80</f>
        <v>118476.754177649</v>
      </c>
      <c r="Q80" s="13" t="n">
        <f aca="false">Q79+O80</f>
        <v>10119.1885444123</v>
      </c>
      <c r="R80" s="13" t="n">
        <f aca="false">R79+B80</f>
        <v>78000</v>
      </c>
    </row>
    <row r="81" customFormat="false" ht="15" hidden="false" customHeight="false" outlineLevel="0" collapsed="false">
      <c r="A81" s="18" t="n">
        <v>79</v>
      </c>
      <c r="B81" s="13" t="n">
        <f aca="false">Inputs!$C$6</f>
        <v>1000</v>
      </c>
      <c r="C81" s="13" t="n">
        <f aca="false">F80</f>
        <v>118476.754177649</v>
      </c>
      <c r="D81" s="13" t="n">
        <f aca="false">C81+B81</f>
        <v>119476.754177649</v>
      </c>
      <c r="E81" s="13" t="n">
        <f aca="false">D81*Inputs!$C$7</f>
        <v>1194.76754177649</v>
      </c>
      <c r="F81" s="13" t="n">
        <f aca="false">D81+E81</f>
        <v>120671.521719426</v>
      </c>
      <c r="G81" s="13" t="n">
        <f aca="false">K80</f>
        <v>132450.661985449</v>
      </c>
      <c r="H81" s="13" t="n">
        <f aca="false">G81+B81</f>
        <v>133450.661985449</v>
      </c>
      <c r="I81" s="13" t="n">
        <f aca="false">H81*Inputs!$C$7</f>
        <v>1334.50661985449</v>
      </c>
      <c r="J81" s="13" t="n">
        <f aca="false">H81*(Inputs!$C$8/12)</f>
        <v>333.626654963622</v>
      </c>
      <c r="K81" s="13" t="n">
        <f aca="false">H81+I81+J81</f>
        <v>135118.795260267</v>
      </c>
      <c r="L81" s="13" t="n">
        <f aca="false">P80</f>
        <v>118476.754177649</v>
      </c>
      <c r="M81" s="13" t="n">
        <f aca="false">L81+B81</f>
        <v>119476.754177649</v>
      </c>
      <c r="N81" s="13" t="n">
        <f aca="false">M81*Inputs!$C$7</f>
        <v>1194.76754177649</v>
      </c>
      <c r="O81" s="13" t="n">
        <f aca="false">M81*(Inputs!$C$8/12)</f>
        <v>298.691885444123</v>
      </c>
      <c r="P81" s="13" t="n">
        <f aca="false">M81+N81</f>
        <v>120671.521719426</v>
      </c>
      <c r="Q81" s="13" t="n">
        <f aca="false">Q80+O81</f>
        <v>10417.8804298564</v>
      </c>
      <c r="R81" s="13" t="n">
        <f aca="false">R80+B81</f>
        <v>79000</v>
      </c>
    </row>
    <row r="82" customFormat="false" ht="15" hidden="false" customHeight="false" outlineLevel="0" collapsed="false">
      <c r="A82" s="18" t="n">
        <v>80</v>
      </c>
      <c r="B82" s="13" t="n">
        <f aca="false">Inputs!$C$6</f>
        <v>1000</v>
      </c>
      <c r="C82" s="13" t="n">
        <f aca="false">F81</f>
        <v>120671.521719426</v>
      </c>
      <c r="D82" s="13" t="n">
        <f aca="false">C82+B82</f>
        <v>121671.521719426</v>
      </c>
      <c r="E82" s="13" t="n">
        <f aca="false">D82*Inputs!$C$7</f>
        <v>1216.71521719426</v>
      </c>
      <c r="F82" s="13" t="n">
        <f aca="false">D82+E82</f>
        <v>122888.23693662</v>
      </c>
      <c r="G82" s="13" t="n">
        <f aca="false">K81</f>
        <v>135118.795260267</v>
      </c>
      <c r="H82" s="13" t="n">
        <f aca="false">G82+B82</f>
        <v>136118.795260267</v>
      </c>
      <c r="I82" s="13" t="n">
        <f aca="false">H82*Inputs!$C$7</f>
        <v>1361.18795260267</v>
      </c>
      <c r="J82" s="13" t="n">
        <f aca="false">H82*(Inputs!$C$8/12)</f>
        <v>340.296988150667</v>
      </c>
      <c r="K82" s="13" t="n">
        <f aca="false">H82+I82+J82</f>
        <v>137820.28020102</v>
      </c>
      <c r="L82" s="13" t="n">
        <f aca="false">P81</f>
        <v>120671.521719426</v>
      </c>
      <c r="M82" s="13" t="n">
        <f aca="false">L82+B82</f>
        <v>121671.521719426</v>
      </c>
      <c r="N82" s="13" t="n">
        <f aca="false">M82*Inputs!$C$7</f>
        <v>1216.71521719426</v>
      </c>
      <c r="O82" s="13" t="n">
        <f aca="false">M82*(Inputs!$C$8/12)</f>
        <v>304.178804298564</v>
      </c>
      <c r="P82" s="13" t="n">
        <f aca="false">M82+N82</f>
        <v>122888.23693662</v>
      </c>
      <c r="Q82" s="13" t="n">
        <f aca="false">Q81+O82</f>
        <v>10722.059234155</v>
      </c>
      <c r="R82" s="13" t="n">
        <f aca="false">R81+B82</f>
        <v>80000</v>
      </c>
    </row>
    <row r="83" customFormat="false" ht="15" hidden="false" customHeight="false" outlineLevel="0" collapsed="false">
      <c r="A83" s="18" t="n">
        <v>81</v>
      </c>
      <c r="B83" s="13" t="n">
        <f aca="false">Inputs!$C$6</f>
        <v>1000</v>
      </c>
      <c r="C83" s="13" t="n">
        <f aca="false">F82</f>
        <v>122888.23693662</v>
      </c>
      <c r="D83" s="13" t="n">
        <f aca="false">C83+B83</f>
        <v>123888.23693662</v>
      </c>
      <c r="E83" s="13" t="n">
        <f aca="false">D83*Inputs!$C$7</f>
        <v>1238.8823693662</v>
      </c>
      <c r="F83" s="13" t="n">
        <f aca="false">D83+E83</f>
        <v>125127.119305986</v>
      </c>
      <c r="G83" s="13" t="n">
        <f aca="false">K82</f>
        <v>137820.28020102</v>
      </c>
      <c r="H83" s="13" t="n">
        <f aca="false">G83+B83</f>
        <v>138820.28020102</v>
      </c>
      <c r="I83" s="13" t="n">
        <f aca="false">H83*Inputs!$C$7</f>
        <v>1388.2028020102</v>
      </c>
      <c r="J83" s="13" t="n">
        <f aca="false">H83*(Inputs!$C$8/12)</f>
        <v>347.050700502551</v>
      </c>
      <c r="K83" s="13" t="n">
        <f aca="false">H83+I83+J83</f>
        <v>140555.533703533</v>
      </c>
      <c r="L83" s="13" t="n">
        <f aca="false">P82</f>
        <v>122888.23693662</v>
      </c>
      <c r="M83" s="13" t="n">
        <f aca="false">L83+B83</f>
        <v>123888.23693662</v>
      </c>
      <c r="N83" s="13" t="n">
        <f aca="false">M83*Inputs!$C$7</f>
        <v>1238.8823693662</v>
      </c>
      <c r="O83" s="13" t="n">
        <f aca="false">M83*(Inputs!$C$8/12)</f>
        <v>309.72059234155</v>
      </c>
      <c r="P83" s="13" t="n">
        <f aca="false">M83+N83</f>
        <v>125127.119305986</v>
      </c>
      <c r="Q83" s="13" t="n">
        <f aca="false">Q82+O83</f>
        <v>11031.7798264965</v>
      </c>
      <c r="R83" s="13" t="n">
        <f aca="false">R82+B83</f>
        <v>81000</v>
      </c>
    </row>
    <row r="84" customFormat="false" ht="15" hidden="false" customHeight="false" outlineLevel="0" collapsed="false">
      <c r="A84" s="18" t="n">
        <v>82</v>
      </c>
      <c r="B84" s="13" t="n">
        <f aca="false">Inputs!$C$6</f>
        <v>1000</v>
      </c>
      <c r="C84" s="13" t="n">
        <f aca="false">F83</f>
        <v>125127.119305986</v>
      </c>
      <c r="D84" s="13" t="n">
        <f aca="false">C84+B84</f>
        <v>126127.119305986</v>
      </c>
      <c r="E84" s="13" t="n">
        <f aca="false">D84*Inputs!$C$7</f>
        <v>1261.27119305986</v>
      </c>
      <c r="F84" s="13" t="n">
        <f aca="false">D84+E84</f>
        <v>127388.390499046</v>
      </c>
      <c r="G84" s="13" t="n">
        <f aca="false">K83</f>
        <v>140555.533703533</v>
      </c>
      <c r="H84" s="13" t="n">
        <f aca="false">G84+B84</f>
        <v>141555.533703533</v>
      </c>
      <c r="I84" s="13" t="n">
        <f aca="false">H84*Inputs!$C$7</f>
        <v>1415.55533703533</v>
      </c>
      <c r="J84" s="13" t="n">
        <f aca="false">H84*(Inputs!$C$8/12)</f>
        <v>353.888834258833</v>
      </c>
      <c r="K84" s="13" t="n">
        <f aca="false">H84+I84+J84</f>
        <v>143324.977874827</v>
      </c>
      <c r="L84" s="13" t="n">
        <f aca="false">P83</f>
        <v>125127.119305986</v>
      </c>
      <c r="M84" s="13" t="n">
        <f aca="false">L84+B84</f>
        <v>126127.119305986</v>
      </c>
      <c r="N84" s="13" t="n">
        <f aca="false">M84*Inputs!$C$7</f>
        <v>1261.27119305986</v>
      </c>
      <c r="O84" s="13" t="n">
        <f aca="false">M84*(Inputs!$C$8/12)</f>
        <v>315.317798264966</v>
      </c>
      <c r="P84" s="13" t="n">
        <f aca="false">M84+N84</f>
        <v>127388.390499046</v>
      </c>
      <c r="Q84" s="13" t="n">
        <f aca="false">Q83+O84</f>
        <v>11347.0976247615</v>
      </c>
      <c r="R84" s="13" t="n">
        <f aca="false">R83+B84</f>
        <v>82000</v>
      </c>
    </row>
    <row r="85" customFormat="false" ht="15" hidden="false" customHeight="false" outlineLevel="0" collapsed="false">
      <c r="A85" s="18" t="n">
        <v>83</v>
      </c>
      <c r="B85" s="13" t="n">
        <f aca="false">Inputs!$C$6</f>
        <v>1000</v>
      </c>
      <c r="C85" s="13" t="n">
        <f aca="false">F84</f>
        <v>127388.390499046</v>
      </c>
      <c r="D85" s="13" t="n">
        <f aca="false">C85+B85</f>
        <v>128388.390499046</v>
      </c>
      <c r="E85" s="13" t="n">
        <f aca="false">D85*Inputs!$C$7</f>
        <v>1283.88390499046</v>
      </c>
      <c r="F85" s="13" t="n">
        <f aca="false">D85+E85</f>
        <v>129672.274404037</v>
      </c>
      <c r="G85" s="13" t="n">
        <f aca="false">K84</f>
        <v>143324.977874827</v>
      </c>
      <c r="H85" s="13" t="n">
        <f aca="false">G85+B85</f>
        <v>144324.977874827</v>
      </c>
      <c r="I85" s="13" t="n">
        <f aca="false">H85*Inputs!$C$7</f>
        <v>1443.24977874827</v>
      </c>
      <c r="J85" s="13" t="n">
        <f aca="false">H85*(Inputs!$C$8/12)</f>
        <v>360.812444687068</v>
      </c>
      <c r="K85" s="13" t="n">
        <f aca="false">H85+I85+J85</f>
        <v>146129.040098263</v>
      </c>
      <c r="L85" s="13" t="n">
        <f aca="false">P84</f>
        <v>127388.390499046</v>
      </c>
      <c r="M85" s="13" t="n">
        <f aca="false">L85+B85</f>
        <v>128388.390499046</v>
      </c>
      <c r="N85" s="13" t="n">
        <f aca="false">M85*Inputs!$C$7</f>
        <v>1283.88390499046</v>
      </c>
      <c r="O85" s="13" t="n">
        <f aca="false">M85*(Inputs!$C$8/12)</f>
        <v>320.970976247615</v>
      </c>
      <c r="P85" s="13" t="n">
        <f aca="false">M85+N85</f>
        <v>129672.274404037</v>
      </c>
      <c r="Q85" s="13" t="n">
        <f aca="false">Q84+O85</f>
        <v>11668.0686010091</v>
      </c>
      <c r="R85" s="13" t="n">
        <f aca="false">R84+B85</f>
        <v>83000</v>
      </c>
    </row>
    <row r="86" customFormat="false" ht="15" hidden="false" customHeight="false" outlineLevel="0" collapsed="false">
      <c r="A86" s="18" t="n">
        <v>84</v>
      </c>
      <c r="B86" s="13" t="n">
        <f aca="false">Inputs!$C$6</f>
        <v>1000</v>
      </c>
      <c r="C86" s="13" t="n">
        <f aca="false">F85</f>
        <v>129672.274404037</v>
      </c>
      <c r="D86" s="13" t="n">
        <f aca="false">C86+B86</f>
        <v>130672.274404037</v>
      </c>
      <c r="E86" s="13" t="n">
        <f aca="false">D86*Inputs!$C$7</f>
        <v>1306.72274404037</v>
      </c>
      <c r="F86" s="13" t="n">
        <f aca="false">D86+E86</f>
        <v>131978.997148077</v>
      </c>
      <c r="G86" s="13" t="n">
        <f aca="false">K85</f>
        <v>146129.040098263</v>
      </c>
      <c r="H86" s="13" t="n">
        <f aca="false">G86+B86</f>
        <v>147129.040098263</v>
      </c>
      <c r="I86" s="13" t="n">
        <f aca="false">H86*Inputs!$C$7</f>
        <v>1471.29040098263</v>
      </c>
      <c r="J86" s="13" t="n">
        <f aca="false">H86*(Inputs!$C$8/12)</f>
        <v>367.822600245656</v>
      </c>
      <c r="K86" s="13" t="n">
        <f aca="false">H86+I86+J86</f>
        <v>148968.153099491</v>
      </c>
      <c r="L86" s="13" t="n">
        <f aca="false">P85</f>
        <v>129672.274404037</v>
      </c>
      <c r="M86" s="13" t="n">
        <f aca="false">L86+B86</f>
        <v>130672.274404037</v>
      </c>
      <c r="N86" s="13" t="n">
        <f aca="false">M86*Inputs!$C$7</f>
        <v>1306.72274404037</v>
      </c>
      <c r="O86" s="13" t="n">
        <f aca="false">M86*(Inputs!$C$8/12)</f>
        <v>326.680686010091</v>
      </c>
      <c r="P86" s="13" t="n">
        <f aca="false">M86+N86</f>
        <v>131978.997148077</v>
      </c>
      <c r="Q86" s="13" t="n">
        <f aca="false">Q85+O86</f>
        <v>11994.7492870192</v>
      </c>
      <c r="R86" s="13" t="n">
        <f aca="false">R85+B86</f>
        <v>84000</v>
      </c>
    </row>
    <row r="87" customFormat="false" ht="15" hidden="false" customHeight="false" outlineLevel="0" collapsed="false">
      <c r="A87" s="18" t="n">
        <v>85</v>
      </c>
      <c r="B87" s="13" t="n">
        <f aca="false">Inputs!$C$6</f>
        <v>1000</v>
      </c>
      <c r="C87" s="13" t="n">
        <f aca="false">F86</f>
        <v>131978.997148077</v>
      </c>
      <c r="D87" s="13" t="n">
        <f aca="false">C87+B87</f>
        <v>132978.997148077</v>
      </c>
      <c r="E87" s="13" t="n">
        <f aca="false">D87*Inputs!$C$7</f>
        <v>1329.78997148077</v>
      </c>
      <c r="F87" s="13" t="n">
        <f aca="false">D87+E87</f>
        <v>134308.787119558</v>
      </c>
      <c r="G87" s="13" t="n">
        <f aca="false">K86</f>
        <v>148968.153099491</v>
      </c>
      <c r="H87" s="13" t="n">
        <f aca="false">G87+B87</f>
        <v>149968.153099491</v>
      </c>
      <c r="I87" s="13" t="n">
        <f aca="false">H87*Inputs!$C$7</f>
        <v>1499.68153099491</v>
      </c>
      <c r="J87" s="13" t="n">
        <f aca="false">H87*(Inputs!$C$8/12)</f>
        <v>374.920382748727</v>
      </c>
      <c r="K87" s="13" t="n">
        <f aca="false">H87+I87+J87</f>
        <v>151842.755013234</v>
      </c>
      <c r="L87" s="13" t="n">
        <f aca="false">P86</f>
        <v>131978.997148077</v>
      </c>
      <c r="M87" s="13" t="n">
        <f aca="false">L87+B87</f>
        <v>132978.997148077</v>
      </c>
      <c r="N87" s="13" t="n">
        <f aca="false">M87*Inputs!$C$7</f>
        <v>1329.78997148077</v>
      </c>
      <c r="O87" s="13" t="n">
        <f aca="false">M87*(Inputs!$C$8/12)</f>
        <v>332.447492870192</v>
      </c>
      <c r="P87" s="13" t="n">
        <f aca="false">M87+N87</f>
        <v>134308.787119558</v>
      </c>
      <c r="Q87" s="13" t="n">
        <f aca="false">Q86+O87</f>
        <v>12327.1967798894</v>
      </c>
      <c r="R87" s="13" t="n">
        <f aca="false">R86+B87</f>
        <v>85000</v>
      </c>
    </row>
    <row r="88" customFormat="false" ht="15" hidden="false" customHeight="false" outlineLevel="0" collapsed="false">
      <c r="A88" s="18" t="n">
        <v>86</v>
      </c>
      <c r="B88" s="13" t="n">
        <f aca="false">Inputs!$C$6</f>
        <v>1000</v>
      </c>
      <c r="C88" s="13" t="n">
        <f aca="false">F87</f>
        <v>134308.787119558</v>
      </c>
      <c r="D88" s="13" t="n">
        <f aca="false">C88+B88</f>
        <v>135308.787119558</v>
      </c>
      <c r="E88" s="13" t="n">
        <f aca="false">D88*Inputs!$C$7</f>
        <v>1353.08787119558</v>
      </c>
      <c r="F88" s="13" t="n">
        <f aca="false">D88+E88</f>
        <v>136661.874990753</v>
      </c>
      <c r="G88" s="13" t="n">
        <f aca="false">K87</f>
        <v>151842.755013234</v>
      </c>
      <c r="H88" s="13" t="n">
        <f aca="false">G88+B88</f>
        <v>152842.755013234</v>
      </c>
      <c r="I88" s="13" t="n">
        <f aca="false">H88*Inputs!$C$7</f>
        <v>1528.42755013234</v>
      </c>
      <c r="J88" s="13" t="n">
        <f aca="false">H88*(Inputs!$C$8/12)</f>
        <v>382.106887533086</v>
      </c>
      <c r="K88" s="13" t="n">
        <f aca="false">H88+I88+J88</f>
        <v>154753.2894509</v>
      </c>
      <c r="L88" s="13" t="n">
        <f aca="false">P87</f>
        <v>134308.787119558</v>
      </c>
      <c r="M88" s="13" t="n">
        <f aca="false">L88+B88</f>
        <v>135308.787119558</v>
      </c>
      <c r="N88" s="13" t="n">
        <f aca="false">M88*Inputs!$C$7</f>
        <v>1353.08787119558</v>
      </c>
      <c r="O88" s="13" t="n">
        <f aca="false">M88*(Inputs!$C$8/12)</f>
        <v>338.271967798894</v>
      </c>
      <c r="P88" s="13" t="n">
        <f aca="false">M88+N88</f>
        <v>136661.874990753</v>
      </c>
      <c r="Q88" s="13" t="n">
        <f aca="false">Q87+O88</f>
        <v>12665.4687476883</v>
      </c>
      <c r="R88" s="13" t="n">
        <f aca="false">R87+B88</f>
        <v>86000</v>
      </c>
    </row>
    <row r="89" customFormat="false" ht="15" hidden="false" customHeight="false" outlineLevel="0" collapsed="false">
      <c r="A89" s="18" t="n">
        <v>87</v>
      </c>
      <c r="B89" s="13" t="n">
        <f aca="false">Inputs!$C$6</f>
        <v>1000</v>
      </c>
      <c r="C89" s="13" t="n">
        <f aca="false">F88</f>
        <v>136661.874990753</v>
      </c>
      <c r="D89" s="13" t="n">
        <f aca="false">C89+B89</f>
        <v>137661.874990753</v>
      </c>
      <c r="E89" s="13" t="n">
        <f aca="false">D89*Inputs!$C$7</f>
        <v>1376.61874990753</v>
      </c>
      <c r="F89" s="13" t="n">
        <f aca="false">D89+E89</f>
        <v>139038.493740661</v>
      </c>
      <c r="G89" s="13" t="n">
        <f aca="false">K88</f>
        <v>154753.2894509</v>
      </c>
      <c r="H89" s="13" t="n">
        <f aca="false">G89+B89</f>
        <v>155753.2894509</v>
      </c>
      <c r="I89" s="13" t="n">
        <f aca="false">H89*Inputs!$C$7</f>
        <v>1557.532894509</v>
      </c>
      <c r="J89" s="13" t="n">
        <f aca="false">H89*(Inputs!$C$8/12)</f>
        <v>389.38322362725</v>
      </c>
      <c r="K89" s="13" t="n">
        <f aca="false">H89+I89+J89</f>
        <v>157700.205569036</v>
      </c>
      <c r="L89" s="13" t="n">
        <f aca="false">P88</f>
        <v>136661.874990753</v>
      </c>
      <c r="M89" s="13" t="n">
        <f aca="false">L89+B89</f>
        <v>137661.874990753</v>
      </c>
      <c r="N89" s="13" t="n">
        <f aca="false">M89*Inputs!$C$7</f>
        <v>1376.61874990753</v>
      </c>
      <c r="O89" s="13" t="n">
        <f aca="false">M89*(Inputs!$C$8/12)</f>
        <v>344.154687476883</v>
      </c>
      <c r="P89" s="13" t="n">
        <f aca="false">M89+N89</f>
        <v>139038.493740661</v>
      </c>
      <c r="Q89" s="13" t="n">
        <f aca="false">Q88+O89</f>
        <v>13009.6234351652</v>
      </c>
      <c r="R89" s="13" t="n">
        <f aca="false">R88+B89</f>
        <v>87000</v>
      </c>
    </row>
    <row r="90" customFormat="false" ht="15" hidden="false" customHeight="false" outlineLevel="0" collapsed="false">
      <c r="A90" s="18" t="n">
        <v>88</v>
      </c>
      <c r="B90" s="13" t="n">
        <f aca="false">Inputs!$C$6</f>
        <v>1000</v>
      </c>
      <c r="C90" s="13" t="n">
        <f aca="false">F89</f>
        <v>139038.493740661</v>
      </c>
      <c r="D90" s="13" t="n">
        <f aca="false">C90+B90</f>
        <v>140038.493740661</v>
      </c>
      <c r="E90" s="13" t="n">
        <f aca="false">D90*Inputs!$C$7</f>
        <v>1400.38493740661</v>
      </c>
      <c r="F90" s="13" t="n">
        <f aca="false">D90+E90</f>
        <v>141438.878678067</v>
      </c>
      <c r="G90" s="13" t="n">
        <f aca="false">K89</f>
        <v>157700.205569036</v>
      </c>
      <c r="H90" s="13" t="n">
        <f aca="false">G90+B90</f>
        <v>158700.205569036</v>
      </c>
      <c r="I90" s="13" t="n">
        <f aca="false">H90*Inputs!$C$7</f>
        <v>1587.00205569036</v>
      </c>
      <c r="J90" s="13" t="n">
        <f aca="false">H90*(Inputs!$C$8/12)</f>
        <v>396.75051392259</v>
      </c>
      <c r="K90" s="13" t="n">
        <f aca="false">H90+I90+J90</f>
        <v>160683.958138649</v>
      </c>
      <c r="L90" s="13" t="n">
        <f aca="false">P89</f>
        <v>139038.493740661</v>
      </c>
      <c r="M90" s="13" t="n">
        <f aca="false">L90+B90</f>
        <v>140038.493740661</v>
      </c>
      <c r="N90" s="13" t="n">
        <f aca="false">M90*Inputs!$C$7</f>
        <v>1400.38493740661</v>
      </c>
      <c r="O90" s="13" t="n">
        <f aca="false">M90*(Inputs!$C$8/12)</f>
        <v>350.096234351652</v>
      </c>
      <c r="P90" s="13" t="n">
        <f aca="false">M90+N90</f>
        <v>141438.878678067</v>
      </c>
      <c r="Q90" s="13" t="n">
        <f aca="false">Q89+O90</f>
        <v>13359.7196695168</v>
      </c>
      <c r="R90" s="13" t="n">
        <f aca="false">R89+B90</f>
        <v>88000</v>
      </c>
    </row>
    <row r="91" customFormat="false" ht="15" hidden="false" customHeight="false" outlineLevel="0" collapsed="false">
      <c r="A91" s="18" t="n">
        <v>89</v>
      </c>
      <c r="B91" s="13" t="n">
        <f aca="false">Inputs!$C$6</f>
        <v>1000</v>
      </c>
      <c r="C91" s="13" t="n">
        <f aca="false">F90</f>
        <v>141438.878678067</v>
      </c>
      <c r="D91" s="13" t="n">
        <f aca="false">C91+B91</f>
        <v>142438.878678067</v>
      </c>
      <c r="E91" s="13" t="n">
        <f aca="false">D91*Inputs!$C$7</f>
        <v>1424.38878678067</v>
      </c>
      <c r="F91" s="13" t="n">
        <f aca="false">D91+E91</f>
        <v>143863.267464848</v>
      </c>
      <c r="G91" s="13" t="n">
        <f aca="false">K90</f>
        <v>160683.958138649</v>
      </c>
      <c r="H91" s="13" t="n">
        <f aca="false">G91+B91</f>
        <v>161683.958138649</v>
      </c>
      <c r="I91" s="13" t="n">
        <f aca="false">H91*Inputs!$C$7</f>
        <v>1616.83958138649</v>
      </c>
      <c r="J91" s="13" t="n">
        <f aca="false">H91*(Inputs!$C$8/12)</f>
        <v>404.209895346623</v>
      </c>
      <c r="K91" s="13" t="n">
        <f aca="false">H91+I91+J91</f>
        <v>163705.007615382</v>
      </c>
      <c r="L91" s="13" t="n">
        <f aca="false">P90</f>
        <v>141438.878678067</v>
      </c>
      <c r="M91" s="13" t="n">
        <f aca="false">L91+B91</f>
        <v>142438.878678067</v>
      </c>
      <c r="N91" s="13" t="n">
        <f aca="false">M91*Inputs!$C$7</f>
        <v>1424.38878678067</v>
      </c>
      <c r="O91" s="13" t="n">
        <f aca="false">M91*(Inputs!$C$8/12)</f>
        <v>356.097196695168</v>
      </c>
      <c r="P91" s="13" t="n">
        <f aca="false">M91+N91</f>
        <v>143863.267464848</v>
      </c>
      <c r="Q91" s="13" t="n">
        <f aca="false">Q90+O91</f>
        <v>13715.816866212</v>
      </c>
      <c r="R91" s="13" t="n">
        <f aca="false">R90+B91</f>
        <v>89000</v>
      </c>
    </row>
    <row r="92" customFormat="false" ht="15" hidden="false" customHeight="false" outlineLevel="0" collapsed="false">
      <c r="A92" s="18" t="n">
        <v>90</v>
      </c>
      <c r="B92" s="13" t="n">
        <f aca="false">Inputs!$C$6</f>
        <v>1000</v>
      </c>
      <c r="C92" s="13" t="n">
        <f aca="false">F91</f>
        <v>143863.267464848</v>
      </c>
      <c r="D92" s="13" t="n">
        <f aca="false">C92+B92</f>
        <v>144863.267464848</v>
      </c>
      <c r="E92" s="13" t="n">
        <f aca="false">D92*Inputs!$C$7</f>
        <v>1448.63267464848</v>
      </c>
      <c r="F92" s="13" t="n">
        <f aca="false">D92+E92</f>
        <v>146311.900139497</v>
      </c>
      <c r="G92" s="13" t="n">
        <f aca="false">K91</f>
        <v>163705.007615382</v>
      </c>
      <c r="H92" s="13" t="n">
        <f aca="false">G92+B92</f>
        <v>164705.007615382</v>
      </c>
      <c r="I92" s="13" t="n">
        <f aca="false">H92*Inputs!$C$7</f>
        <v>1647.05007615382</v>
      </c>
      <c r="J92" s="13" t="n">
        <f aca="false">H92*(Inputs!$C$8/12)</f>
        <v>411.762519038456</v>
      </c>
      <c r="K92" s="13" t="n">
        <f aca="false">H92+I92+J92</f>
        <v>166763.820210575</v>
      </c>
      <c r="L92" s="13" t="n">
        <f aca="false">P91</f>
        <v>143863.267464848</v>
      </c>
      <c r="M92" s="13" t="n">
        <f aca="false">L92+B92</f>
        <v>144863.267464848</v>
      </c>
      <c r="N92" s="13" t="n">
        <f aca="false">M92*Inputs!$C$7</f>
        <v>1448.63267464848</v>
      </c>
      <c r="O92" s="13" t="n">
        <f aca="false">M92*(Inputs!$C$8/12)</f>
        <v>362.15816866212</v>
      </c>
      <c r="P92" s="13" t="n">
        <f aca="false">M92+N92</f>
        <v>146311.900139497</v>
      </c>
      <c r="Q92" s="13" t="n">
        <f aca="false">Q91+O92</f>
        <v>14077.9750348741</v>
      </c>
      <c r="R92" s="13" t="n">
        <f aca="false">R91+B92</f>
        <v>90000</v>
      </c>
    </row>
    <row r="93" customFormat="false" ht="15" hidden="false" customHeight="false" outlineLevel="0" collapsed="false">
      <c r="A93" s="18" t="n">
        <v>91</v>
      </c>
      <c r="B93" s="13" t="n">
        <f aca="false">Inputs!$C$6</f>
        <v>1000</v>
      </c>
      <c r="C93" s="13" t="n">
        <f aca="false">F92</f>
        <v>146311.900139497</v>
      </c>
      <c r="D93" s="13" t="n">
        <f aca="false">C93+B93</f>
        <v>147311.900139497</v>
      </c>
      <c r="E93" s="13" t="n">
        <f aca="false">D93*Inputs!$C$7</f>
        <v>1473.11900139497</v>
      </c>
      <c r="F93" s="13" t="n">
        <f aca="false">D93+E93</f>
        <v>148785.019140891</v>
      </c>
      <c r="G93" s="13" t="n">
        <f aca="false">K92</f>
        <v>166763.820210575</v>
      </c>
      <c r="H93" s="13" t="n">
        <f aca="false">G93+B93</f>
        <v>167763.820210575</v>
      </c>
      <c r="I93" s="13" t="n">
        <f aca="false">H93*Inputs!$C$7</f>
        <v>1677.63820210575</v>
      </c>
      <c r="J93" s="13" t="n">
        <f aca="false">H93*(Inputs!$C$8/12)</f>
        <v>419.409550526436</v>
      </c>
      <c r="K93" s="13" t="n">
        <f aca="false">H93+I93+J93</f>
        <v>169860.867963207</v>
      </c>
      <c r="L93" s="13" t="n">
        <f aca="false">P92</f>
        <v>146311.900139497</v>
      </c>
      <c r="M93" s="13" t="n">
        <f aca="false">L93+B93</f>
        <v>147311.900139497</v>
      </c>
      <c r="N93" s="13" t="n">
        <f aca="false">M93*Inputs!$C$7</f>
        <v>1473.11900139497</v>
      </c>
      <c r="O93" s="13" t="n">
        <f aca="false">M93*(Inputs!$C$8/12)</f>
        <v>368.279750348741</v>
      </c>
      <c r="P93" s="13" t="n">
        <f aca="false">M93+N93</f>
        <v>148785.019140891</v>
      </c>
      <c r="Q93" s="13" t="n">
        <f aca="false">Q92+O93</f>
        <v>14446.2547852229</v>
      </c>
      <c r="R93" s="13" t="n">
        <f aca="false">R92+B93</f>
        <v>91000</v>
      </c>
    </row>
    <row r="94" customFormat="false" ht="15" hidden="false" customHeight="false" outlineLevel="0" collapsed="false">
      <c r="A94" s="18" t="n">
        <v>92</v>
      </c>
      <c r="B94" s="13" t="n">
        <f aca="false">Inputs!$C$6</f>
        <v>1000</v>
      </c>
      <c r="C94" s="13" t="n">
        <f aca="false">F93</f>
        <v>148785.019140891</v>
      </c>
      <c r="D94" s="13" t="n">
        <f aca="false">C94+B94</f>
        <v>149785.019140891</v>
      </c>
      <c r="E94" s="13" t="n">
        <f aca="false">D94*Inputs!$C$7</f>
        <v>1497.85019140891</v>
      </c>
      <c r="F94" s="13" t="n">
        <f aca="false">D94+E94</f>
        <v>151282.8693323</v>
      </c>
      <c r="G94" s="13" t="n">
        <f aca="false">K93</f>
        <v>169860.867963207</v>
      </c>
      <c r="H94" s="13" t="n">
        <f aca="false">G94+B94</f>
        <v>170860.867963207</v>
      </c>
      <c r="I94" s="13" t="n">
        <f aca="false">H94*Inputs!$C$7</f>
        <v>1708.60867963207</v>
      </c>
      <c r="J94" s="13" t="n">
        <f aca="false">H94*(Inputs!$C$8/12)</f>
        <v>427.152169908017</v>
      </c>
      <c r="K94" s="13" t="n">
        <f aca="false">H94+I94+J94</f>
        <v>172996.628812747</v>
      </c>
      <c r="L94" s="13" t="n">
        <f aca="false">P93</f>
        <v>148785.019140891</v>
      </c>
      <c r="M94" s="13" t="n">
        <f aca="false">L94+B94</f>
        <v>149785.019140891</v>
      </c>
      <c r="N94" s="13" t="n">
        <f aca="false">M94*Inputs!$C$7</f>
        <v>1497.85019140891</v>
      </c>
      <c r="O94" s="13" t="n">
        <f aca="false">M94*(Inputs!$C$8/12)</f>
        <v>374.462547852229</v>
      </c>
      <c r="P94" s="13" t="n">
        <f aca="false">M94+N94</f>
        <v>151282.8693323</v>
      </c>
      <c r="Q94" s="13" t="n">
        <f aca="false">Q93+O94</f>
        <v>14820.7173330751</v>
      </c>
      <c r="R94" s="13" t="n">
        <f aca="false">R93+B94</f>
        <v>92000</v>
      </c>
    </row>
    <row r="95" customFormat="false" ht="15" hidden="false" customHeight="false" outlineLevel="0" collapsed="false">
      <c r="A95" s="18" t="n">
        <v>93</v>
      </c>
      <c r="B95" s="13" t="n">
        <f aca="false">Inputs!$C$6</f>
        <v>1000</v>
      </c>
      <c r="C95" s="13" t="n">
        <f aca="false">F94</f>
        <v>151282.8693323</v>
      </c>
      <c r="D95" s="13" t="n">
        <f aca="false">C95+B95</f>
        <v>152282.8693323</v>
      </c>
      <c r="E95" s="13" t="n">
        <f aca="false">D95*Inputs!$C$7</f>
        <v>1522.828693323</v>
      </c>
      <c r="F95" s="13" t="n">
        <f aca="false">D95+E95</f>
        <v>153805.698025623</v>
      </c>
      <c r="G95" s="13" t="n">
        <f aca="false">K94</f>
        <v>172996.628812747</v>
      </c>
      <c r="H95" s="13" t="n">
        <f aca="false">G95+B95</f>
        <v>173996.628812747</v>
      </c>
      <c r="I95" s="13" t="n">
        <f aca="false">H95*Inputs!$C$7</f>
        <v>1739.96628812747</v>
      </c>
      <c r="J95" s="13" t="n">
        <f aca="false">H95*(Inputs!$C$8/12)</f>
        <v>434.991572031867</v>
      </c>
      <c r="K95" s="13" t="n">
        <f aca="false">H95+I95+J95</f>
        <v>176171.586672906</v>
      </c>
      <c r="L95" s="13" t="n">
        <f aca="false">P94</f>
        <v>151282.8693323</v>
      </c>
      <c r="M95" s="13" t="n">
        <f aca="false">L95+B95</f>
        <v>152282.8693323</v>
      </c>
      <c r="N95" s="13" t="n">
        <f aca="false">M95*Inputs!$C$7</f>
        <v>1522.828693323</v>
      </c>
      <c r="O95" s="13" t="n">
        <f aca="false">M95*(Inputs!$C$8/12)</f>
        <v>380.707173330751</v>
      </c>
      <c r="P95" s="13" t="n">
        <f aca="false">M95+N95</f>
        <v>153805.698025623</v>
      </c>
      <c r="Q95" s="13" t="n">
        <f aca="false">Q94+O95</f>
        <v>15201.4245064058</v>
      </c>
      <c r="R95" s="13" t="n">
        <f aca="false">R94+B95</f>
        <v>93000</v>
      </c>
    </row>
    <row r="96" customFormat="false" ht="15" hidden="false" customHeight="false" outlineLevel="0" collapsed="false">
      <c r="A96" s="18" t="n">
        <v>94</v>
      </c>
      <c r="B96" s="13" t="n">
        <f aca="false">Inputs!$C$6</f>
        <v>1000</v>
      </c>
      <c r="C96" s="13" t="n">
        <f aca="false">F95</f>
        <v>153805.698025623</v>
      </c>
      <c r="D96" s="13" t="n">
        <f aca="false">C96+B96</f>
        <v>154805.698025623</v>
      </c>
      <c r="E96" s="13" t="n">
        <f aca="false">D96*Inputs!$C$7</f>
        <v>1548.05698025623</v>
      </c>
      <c r="F96" s="13" t="n">
        <f aca="false">D96+E96</f>
        <v>156353.75500588</v>
      </c>
      <c r="G96" s="13" t="n">
        <f aca="false">K95</f>
        <v>176171.586672906</v>
      </c>
      <c r="H96" s="13" t="n">
        <f aca="false">G96+B96</f>
        <v>177171.586672906</v>
      </c>
      <c r="I96" s="13" t="n">
        <f aca="false">H96*Inputs!$C$7</f>
        <v>1771.71586672906</v>
      </c>
      <c r="J96" s="13" t="n">
        <f aca="false">H96*(Inputs!$C$8/12)</f>
        <v>442.928966682265</v>
      </c>
      <c r="K96" s="13" t="n">
        <f aca="false">H96+I96+J96</f>
        <v>179386.231506317</v>
      </c>
      <c r="L96" s="13" t="n">
        <f aca="false">P95</f>
        <v>153805.698025623</v>
      </c>
      <c r="M96" s="13" t="n">
        <f aca="false">L96+B96</f>
        <v>154805.698025623</v>
      </c>
      <c r="N96" s="13" t="n">
        <f aca="false">M96*Inputs!$C$7</f>
        <v>1548.05698025623</v>
      </c>
      <c r="O96" s="13" t="n">
        <f aca="false">M96*(Inputs!$C$8/12)</f>
        <v>387.014245064059</v>
      </c>
      <c r="P96" s="13" t="n">
        <f aca="false">M96+N96</f>
        <v>156353.75500588</v>
      </c>
      <c r="Q96" s="13" t="n">
        <f aca="false">Q95+O96</f>
        <v>15588.4387514699</v>
      </c>
      <c r="R96" s="13" t="n">
        <f aca="false">R95+B96</f>
        <v>94000</v>
      </c>
    </row>
    <row r="97" customFormat="false" ht="15" hidden="false" customHeight="false" outlineLevel="0" collapsed="false">
      <c r="A97" s="18" t="n">
        <v>95</v>
      </c>
      <c r="B97" s="13" t="n">
        <f aca="false">Inputs!$C$6</f>
        <v>1000</v>
      </c>
      <c r="C97" s="13" t="n">
        <f aca="false">F96</f>
        <v>156353.75500588</v>
      </c>
      <c r="D97" s="13" t="n">
        <f aca="false">C97+B97</f>
        <v>157353.75500588</v>
      </c>
      <c r="E97" s="13" t="n">
        <f aca="false">D97*Inputs!$C$7</f>
        <v>1573.5375500588</v>
      </c>
      <c r="F97" s="13" t="n">
        <f aca="false">D97+E97</f>
        <v>158927.292555938</v>
      </c>
      <c r="G97" s="13" t="n">
        <f aca="false">K96</f>
        <v>179386.231506317</v>
      </c>
      <c r="H97" s="13" t="n">
        <f aca="false">G97+B97</f>
        <v>180386.231506317</v>
      </c>
      <c r="I97" s="13" t="n">
        <f aca="false">H97*Inputs!$C$7</f>
        <v>1803.86231506317</v>
      </c>
      <c r="J97" s="13" t="n">
        <f aca="false">H97*(Inputs!$C$8/12)</f>
        <v>450.965578765794</v>
      </c>
      <c r="K97" s="13" t="n">
        <f aca="false">H97+I97+J97</f>
        <v>182641.059400146</v>
      </c>
      <c r="L97" s="13" t="n">
        <f aca="false">P96</f>
        <v>156353.75500588</v>
      </c>
      <c r="M97" s="13" t="n">
        <f aca="false">L97+B97</f>
        <v>157353.75500588</v>
      </c>
      <c r="N97" s="13" t="n">
        <f aca="false">M97*Inputs!$C$7</f>
        <v>1573.5375500588</v>
      </c>
      <c r="O97" s="13" t="n">
        <f aca="false">M97*(Inputs!$C$8/12)</f>
        <v>393.384387514699</v>
      </c>
      <c r="P97" s="13" t="n">
        <f aca="false">M97+N97</f>
        <v>158927.292555938</v>
      </c>
      <c r="Q97" s="13" t="n">
        <f aca="false">Q96+O97</f>
        <v>15981.8231389846</v>
      </c>
      <c r="R97" s="13" t="n">
        <f aca="false">R96+B97</f>
        <v>95000</v>
      </c>
    </row>
    <row r="98" customFormat="false" ht="15" hidden="false" customHeight="false" outlineLevel="0" collapsed="false">
      <c r="A98" s="18" t="n">
        <v>96</v>
      </c>
      <c r="B98" s="13" t="n">
        <f aca="false">Inputs!$C$6</f>
        <v>1000</v>
      </c>
      <c r="C98" s="13" t="n">
        <f aca="false">F97</f>
        <v>158927.292555938</v>
      </c>
      <c r="D98" s="13" t="n">
        <f aca="false">C98+B98</f>
        <v>159927.292555938</v>
      </c>
      <c r="E98" s="13" t="n">
        <f aca="false">D98*Inputs!$C$7</f>
        <v>1599.27292555938</v>
      </c>
      <c r="F98" s="13" t="n">
        <f aca="false">D98+E98</f>
        <v>161526.565481498</v>
      </c>
      <c r="G98" s="13" t="n">
        <f aca="false">K97</f>
        <v>182641.059400146</v>
      </c>
      <c r="H98" s="13" t="n">
        <f aca="false">G98+B98</f>
        <v>183641.059400146</v>
      </c>
      <c r="I98" s="13" t="n">
        <f aca="false">H98*Inputs!$C$7</f>
        <v>1836.41059400146</v>
      </c>
      <c r="J98" s="13" t="n">
        <f aca="false">H98*(Inputs!$C$8/12)</f>
        <v>459.102648500366</v>
      </c>
      <c r="K98" s="13" t="n">
        <f aca="false">H98+I98+J98</f>
        <v>185936.572642648</v>
      </c>
      <c r="L98" s="13" t="n">
        <f aca="false">P97</f>
        <v>158927.292555938</v>
      </c>
      <c r="M98" s="13" t="n">
        <f aca="false">L98+B98</f>
        <v>159927.292555938</v>
      </c>
      <c r="N98" s="13" t="n">
        <f aca="false">M98*Inputs!$C$7</f>
        <v>1599.27292555938</v>
      </c>
      <c r="O98" s="13" t="n">
        <f aca="false">M98*(Inputs!$C$8/12)</f>
        <v>399.818231389846</v>
      </c>
      <c r="P98" s="13" t="n">
        <f aca="false">M98+N98</f>
        <v>161526.565481498</v>
      </c>
      <c r="Q98" s="13" t="n">
        <f aca="false">Q97+O98</f>
        <v>16381.6413703744</v>
      </c>
      <c r="R98" s="13" t="n">
        <f aca="false">R97+B98</f>
        <v>96000</v>
      </c>
    </row>
    <row r="99" customFormat="false" ht="15" hidden="false" customHeight="false" outlineLevel="0" collapsed="false">
      <c r="A99" s="18" t="n">
        <v>97</v>
      </c>
      <c r="B99" s="13" t="n">
        <f aca="false">Inputs!$C$6</f>
        <v>1000</v>
      </c>
      <c r="C99" s="13" t="n">
        <f aca="false">F98</f>
        <v>161526.565481498</v>
      </c>
      <c r="D99" s="13" t="n">
        <f aca="false">C99+B99</f>
        <v>162526.565481498</v>
      </c>
      <c r="E99" s="13" t="n">
        <f aca="false">D99*Inputs!$C$7</f>
        <v>1625.26565481498</v>
      </c>
      <c r="F99" s="13" t="n">
        <f aca="false">D99+E99</f>
        <v>164151.831136313</v>
      </c>
      <c r="G99" s="13" t="n">
        <f aca="false">K98</f>
        <v>185936.572642648</v>
      </c>
      <c r="H99" s="13" t="n">
        <f aca="false">G99+B99</f>
        <v>186936.572642648</v>
      </c>
      <c r="I99" s="13" t="n">
        <f aca="false">H99*Inputs!$C$7</f>
        <v>1869.36572642648</v>
      </c>
      <c r="J99" s="13" t="n">
        <f aca="false">H99*(Inputs!$C$8/12)</f>
        <v>467.341431606621</v>
      </c>
      <c r="K99" s="13" t="n">
        <f aca="false">H99+I99+J99</f>
        <v>189273.279800681</v>
      </c>
      <c r="L99" s="13" t="n">
        <f aca="false">P98</f>
        <v>161526.565481498</v>
      </c>
      <c r="M99" s="13" t="n">
        <f aca="false">L99+B99</f>
        <v>162526.565481498</v>
      </c>
      <c r="N99" s="13" t="n">
        <f aca="false">M99*Inputs!$C$7</f>
        <v>1625.26565481498</v>
      </c>
      <c r="O99" s="13" t="n">
        <f aca="false">M99*(Inputs!$C$8/12)</f>
        <v>406.316413703745</v>
      </c>
      <c r="P99" s="13" t="n">
        <f aca="false">M99+N99</f>
        <v>164151.831136313</v>
      </c>
      <c r="Q99" s="13" t="n">
        <f aca="false">Q98+O99</f>
        <v>16787.9577840782</v>
      </c>
      <c r="R99" s="13" t="n">
        <f aca="false">R98+B99</f>
        <v>97000</v>
      </c>
    </row>
    <row r="100" customFormat="false" ht="15" hidden="false" customHeight="false" outlineLevel="0" collapsed="false">
      <c r="A100" s="18" t="n">
        <v>98</v>
      </c>
      <c r="B100" s="13" t="n">
        <f aca="false">Inputs!$C$6</f>
        <v>1000</v>
      </c>
      <c r="C100" s="13" t="n">
        <f aca="false">F99</f>
        <v>164151.831136313</v>
      </c>
      <c r="D100" s="13" t="n">
        <f aca="false">C100+B100</f>
        <v>165151.831136313</v>
      </c>
      <c r="E100" s="13" t="n">
        <f aca="false">D100*Inputs!$C$7</f>
        <v>1651.51831136313</v>
      </c>
      <c r="F100" s="13" t="n">
        <f aca="false">D100+E100</f>
        <v>166803.349447676</v>
      </c>
      <c r="G100" s="13" t="n">
        <f aca="false">K99</f>
        <v>189273.279800681</v>
      </c>
      <c r="H100" s="13" t="n">
        <f aca="false">G100+B100</f>
        <v>190273.279800681</v>
      </c>
      <c r="I100" s="13" t="n">
        <f aca="false">H100*Inputs!$C$7</f>
        <v>1902.73279800681</v>
      </c>
      <c r="J100" s="13" t="n">
        <f aca="false">H100*(Inputs!$C$8/12)</f>
        <v>475.683199501703</v>
      </c>
      <c r="K100" s="13" t="n">
        <f aca="false">H100+I100+J100</f>
        <v>192651.69579819</v>
      </c>
      <c r="L100" s="13" t="n">
        <f aca="false">P99</f>
        <v>164151.831136313</v>
      </c>
      <c r="M100" s="13" t="n">
        <f aca="false">L100+B100</f>
        <v>165151.831136313</v>
      </c>
      <c r="N100" s="13" t="n">
        <f aca="false">M100*Inputs!$C$7</f>
        <v>1651.51831136313</v>
      </c>
      <c r="O100" s="13" t="n">
        <f aca="false">M100*(Inputs!$C$8/12)</f>
        <v>412.879577840782</v>
      </c>
      <c r="P100" s="13" t="n">
        <f aca="false">M100+N100</f>
        <v>166803.349447676</v>
      </c>
      <c r="Q100" s="13" t="n">
        <f aca="false">Q99+O100</f>
        <v>17200.837361919</v>
      </c>
      <c r="R100" s="13" t="n">
        <f aca="false">R99+B100</f>
        <v>98000</v>
      </c>
    </row>
    <row r="101" customFormat="false" ht="15" hidden="false" customHeight="false" outlineLevel="0" collapsed="false">
      <c r="A101" s="18" t="n">
        <v>99</v>
      </c>
      <c r="B101" s="13" t="n">
        <f aca="false">Inputs!$C$6</f>
        <v>1000</v>
      </c>
      <c r="C101" s="13" t="n">
        <f aca="false">F100</f>
        <v>166803.349447676</v>
      </c>
      <c r="D101" s="13" t="n">
        <f aca="false">C101+B101</f>
        <v>167803.349447676</v>
      </c>
      <c r="E101" s="13" t="n">
        <f aca="false">D101*Inputs!$C$7</f>
        <v>1678.03349447676</v>
      </c>
      <c r="F101" s="13" t="n">
        <f aca="false">D101+E101</f>
        <v>169481.382942153</v>
      </c>
      <c r="G101" s="13" t="n">
        <f aca="false">K100</f>
        <v>192651.69579819</v>
      </c>
      <c r="H101" s="13" t="n">
        <f aca="false">G101+B101</f>
        <v>193651.69579819</v>
      </c>
      <c r="I101" s="13" t="n">
        <f aca="false">H101*Inputs!$C$7</f>
        <v>1936.5169579819</v>
      </c>
      <c r="J101" s="13" t="n">
        <f aca="false">H101*(Inputs!$C$8/12)</f>
        <v>484.129239495475</v>
      </c>
      <c r="K101" s="13" t="n">
        <f aca="false">H101+I101+J101</f>
        <v>196072.341995667</v>
      </c>
      <c r="L101" s="13" t="n">
        <f aca="false">P100</f>
        <v>166803.349447676</v>
      </c>
      <c r="M101" s="13" t="n">
        <f aca="false">L101+B101</f>
        <v>167803.349447676</v>
      </c>
      <c r="N101" s="13" t="n">
        <f aca="false">M101*Inputs!$C$7</f>
        <v>1678.03349447676</v>
      </c>
      <c r="O101" s="13" t="n">
        <f aca="false">M101*(Inputs!$C$8/12)</f>
        <v>419.50837361919</v>
      </c>
      <c r="P101" s="13" t="n">
        <f aca="false">M101+N101</f>
        <v>169481.382942153</v>
      </c>
      <c r="Q101" s="13" t="n">
        <f aca="false">Q100+O101</f>
        <v>17620.3457355382</v>
      </c>
      <c r="R101" s="13" t="n">
        <f aca="false">R100+B101</f>
        <v>99000</v>
      </c>
    </row>
    <row r="102" customFormat="false" ht="15" hidden="false" customHeight="false" outlineLevel="0" collapsed="false">
      <c r="A102" s="18" t="n">
        <v>100</v>
      </c>
      <c r="B102" s="13" t="n">
        <f aca="false">Inputs!$C$6</f>
        <v>1000</v>
      </c>
      <c r="C102" s="13" t="n">
        <f aca="false">F101</f>
        <v>169481.382942153</v>
      </c>
      <c r="D102" s="13" t="n">
        <f aca="false">C102+B102</f>
        <v>170481.382942153</v>
      </c>
      <c r="E102" s="13" t="n">
        <f aca="false">D102*Inputs!$C$7</f>
        <v>1704.81382942153</v>
      </c>
      <c r="F102" s="13" t="n">
        <f aca="false">D102+E102</f>
        <v>172186.196771574</v>
      </c>
      <c r="G102" s="13" t="n">
        <f aca="false">K101</f>
        <v>196072.341995667</v>
      </c>
      <c r="H102" s="13" t="n">
        <f aca="false">G102+B102</f>
        <v>197072.341995667</v>
      </c>
      <c r="I102" s="13" t="n">
        <f aca="false">H102*Inputs!$C$7</f>
        <v>1970.72341995667</v>
      </c>
      <c r="J102" s="13" t="n">
        <f aca="false">H102*(Inputs!$C$8/12)</f>
        <v>492.680854989168</v>
      </c>
      <c r="K102" s="13" t="n">
        <f aca="false">H102+I102+J102</f>
        <v>199535.746270613</v>
      </c>
      <c r="L102" s="13" t="n">
        <f aca="false">P101</f>
        <v>169481.382942153</v>
      </c>
      <c r="M102" s="13" t="n">
        <f aca="false">L102+B102</f>
        <v>170481.382942153</v>
      </c>
      <c r="N102" s="13" t="n">
        <f aca="false">M102*Inputs!$C$7</f>
        <v>1704.81382942153</v>
      </c>
      <c r="O102" s="13" t="n">
        <f aca="false">M102*(Inputs!$C$8/12)</f>
        <v>426.203457355382</v>
      </c>
      <c r="P102" s="13" t="n">
        <f aca="false">M102+N102</f>
        <v>172186.196771574</v>
      </c>
      <c r="Q102" s="13" t="n">
        <f aca="false">Q101+O102</f>
        <v>18046.5491928935</v>
      </c>
      <c r="R102" s="13" t="n">
        <f aca="false">R101+B102</f>
        <v>100000</v>
      </c>
    </row>
    <row r="103" customFormat="false" ht="15" hidden="false" customHeight="false" outlineLevel="0" collapsed="false">
      <c r="A103" s="18" t="n">
        <v>101</v>
      </c>
      <c r="B103" s="13" t="n">
        <f aca="false">Inputs!$C$6</f>
        <v>1000</v>
      </c>
      <c r="C103" s="13" t="n">
        <f aca="false">F102</f>
        <v>172186.196771574</v>
      </c>
      <c r="D103" s="13" t="n">
        <f aca="false">C103+B103</f>
        <v>173186.196771574</v>
      </c>
      <c r="E103" s="13" t="n">
        <f aca="false">D103*Inputs!$C$7</f>
        <v>1731.86196771574</v>
      </c>
      <c r="F103" s="13" t="n">
        <f aca="false">D103+E103</f>
        <v>174918.05873929</v>
      </c>
      <c r="G103" s="13" t="n">
        <f aca="false">K102</f>
        <v>199535.746270613</v>
      </c>
      <c r="H103" s="13" t="n">
        <f aca="false">G103+B103</f>
        <v>200535.746270613</v>
      </c>
      <c r="I103" s="13" t="n">
        <f aca="false">H103*Inputs!$C$7</f>
        <v>2005.35746270613</v>
      </c>
      <c r="J103" s="13" t="n">
        <f aca="false">H103*(Inputs!$C$8/12)</f>
        <v>501.339365676533</v>
      </c>
      <c r="K103" s="13" t="n">
        <f aca="false">H103+I103+J103</f>
        <v>203042.443098996</v>
      </c>
      <c r="L103" s="13" t="n">
        <f aca="false">P102</f>
        <v>172186.196771574</v>
      </c>
      <c r="M103" s="13" t="n">
        <f aca="false">L103+B103</f>
        <v>173186.196771574</v>
      </c>
      <c r="N103" s="13" t="n">
        <f aca="false">M103*Inputs!$C$7</f>
        <v>1731.86196771574</v>
      </c>
      <c r="O103" s="13" t="n">
        <f aca="false">M103*(Inputs!$C$8/12)</f>
        <v>432.965491928936</v>
      </c>
      <c r="P103" s="13" t="n">
        <f aca="false">M103+N103</f>
        <v>174918.05873929</v>
      </c>
      <c r="Q103" s="13" t="n">
        <f aca="false">Q102+O103</f>
        <v>18479.5146848225</v>
      </c>
      <c r="R103" s="13" t="n">
        <f aca="false">R102+B103</f>
        <v>101000</v>
      </c>
    </row>
    <row r="104" customFormat="false" ht="15" hidden="false" customHeight="false" outlineLevel="0" collapsed="false">
      <c r="A104" s="18" t="n">
        <v>102</v>
      </c>
      <c r="B104" s="13" t="n">
        <f aca="false">Inputs!$C$6</f>
        <v>1000</v>
      </c>
      <c r="C104" s="13" t="n">
        <f aca="false">F103</f>
        <v>174918.05873929</v>
      </c>
      <c r="D104" s="13" t="n">
        <f aca="false">C104+B104</f>
        <v>175918.05873929</v>
      </c>
      <c r="E104" s="13" t="n">
        <f aca="false">D104*Inputs!$C$7</f>
        <v>1759.1805873929</v>
      </c>
      <c r="F104" s="13" t="n">
        <f aca="false">D104+E104</f>
        <v>177677.239326683</v>
      </c>
      <c r="G104" s="13" t="n">
        <f aca="false">K103</f>
        <v>203042.443098996</v>
      </c>
      <c r="H104" s="13" t="n">
        <f aca="false">G104+B104</f>
        <v>204042.443098996</v>
      </c>
      <c r="I104" s="13" t="n">
        <f aca="false">H104*Inputs!$C$7</f>
        <v>2040.42443098996</v>
      </c>
      <c r="J104" s="13" t="n">
        <f aca="false">H104*(Inputs!$C$8/12)</f>
        <v>510.106107747489</v>
      </c>
      <c r="K104" s="13" t="n">
        <f aca="false">H104+I104+J104</f>
        <v>206592.973637733</v>
      </c>
      <c r="L104" s="13" t="n">
        <f aca="false">P103</f>
        <v>174918.05873929</v>
      </c>
      <c r="M104" s="13" t="n">
        <f aca="false">L104+B104</f>
        <v>175918.05873929</v>
      </c>
      <c r="N104" s="13" t="n">
        <f aca="false">M104*Inputs!$C$7</f>
        <v>1759.1805873929</v>
      </c>
      <c r="O104" s="13" t="n">
        <f aca="false">M104*(Inputs!$C$8/12)</f>
        <v>439.795146848225</v>
      </c>
      <c r="P104" s="13" t="n">
        <f aca="false">M104+N104</f>
        <v>177677.239326683</v>
      </c>
      <c r="Q104" s="13" t="n">
        <f aca="false">Q103+O104</f>
        <v>18919.3098316707</v>
      </c>
      <c r="R104" s="13" t="n">
        <f aca="false">R103+B104</f>
        <v>102000</v>
      </c>
    </row>
    <row r="105" customFormat="false" ht="15" hidden="false" customHeight="false" outlineLevel="0" collapsed="false">
      <c r="A105" s="18" t="n">
        <v>103</v>
      </c>
      <c r="B105" s="13" t="n">
        <f aca="false">Inputs!$C$6</f>
        <v>1000</v>
      </c>
      <c r="C105" s="13" t="n">
        <f aca="false">F104</f>
        <v>177677.239326683</v>
      </c>
      <c r="D105" s="13" t="n">
        <f aca="false">C105+B105</f>
        <v>178677.239326683</v>
      </c>
      <c r="E105" s="13" t="n">
        <f aca="false">D105*Inputs!$C$7</f>
        <v>1786.77239326683</v>
      </c>
      <c r="F105" s="13" t="n">
        <f aca="false">D105+E105</f>
        <v>180464.01171995</v>
      </c>
      <c r="G105" s="13" t="n">
        <f aca="false">K104</f>
        <v>206592.973637733</v>
      </c>
      <c r="H105" s="13" t="n">
        <f aca="false">G105+B105</f>
        <v>207592.973637733</v>
      </c>
      <c r="I105" s="13" t="n">
        <f aca="false">H105*Inputs!$C$7</f>
        <v>2075.92973637733</v>
      </c>
      <c r="J105" s="13" t="n">
        <f aca="false">H105*(Inputs!$C$8/12)</f>
        <v>518.982434094333</v>
      </c>
      <c r="K105" s="13" t="n">
        <f aca="false">H105+I105+J105</f>
        <v>210187.885808205</v>
      </c>
      <c r="L105" s="13" t="n">
        <f aca="false">P104</f>
        <v>177677.239326683</v>
      </c>
      <c r="M105" s="13" t="n">
        <f aca="false">L105+B105</f>
        <v>178677.239326683</v>
      </c>
      <c r="N105" s="13" t="n">
        <f aca="false">M105*Inputs!$C$7</f>
        <v>1786.77239326683</v>
      </c>
      <c r="O105" s="13" t="n">
        <f aca="false">M105*(Inputs!$C$8/12)</f>
        <v>446.693098316707</v>
      </c>
      <c r="P105" s="13" t="n">
        <f aca="false">M105+N105</f>
        <v>180464.01171995</v>
      </c>
      <c r="Q105" s="13" t="n">
        <f aca="false">Q104+O105</f>
        <v>19366.0029299874</v>
      </c>
      <c r="R105" s="13" t="n">
        <f aca="false">R104+B105</f>
        <v>103000</v>
      </c>
    </row>
    <row r="106" customFormat="false" ht="15" hidden="false" customHeight="false" outlineLevel="0" collapsed="false">
      <c r="A106" s="18" t="n">
        <v>104</v>
      </c>
      <c r="B106" s="13" t="n">
        <f aca="false">Inputs!$C$6</f>
        <v>1000</v>
      </c>
      <c r="C106" s="13" t="n">
        <f aca="false">F105</f>
        <v>180464.01171995</v>
      </c>
      <c r="D106" s="13" t="n">
        <f aca="false">C106+B106</f>
        <v>181464.01171995</v>
      </c>
      <c r="E106" s="13" t="n">
        <f aca="false">D106*Inputs!$C$7</f>
        <v>1814.6401171995</v>
      </c>
      <c r="F106" s="13" t="n">
        <f aca="false">D106+E106</f>
        <v>183278.651837149</v>
      </c>
      <c r="G106" s="13" t="n">
        <f aca="false">K105</f>
        <v>210187.885808205</v>
      </c>
      <c r="H106" s="13" t="n">
        <f aca="false">G106+B106</f>
        <v>211187.885808205</v>
      </c>
      <c r="I106" s="13" t="n">
        <f aca="false">H106*Inputs!$C$7</f>
        <v>2111.87885808205</v>
      </c>
      <c r="J106" s="13" t="n">
        <f aca="false">H106*(Inputs!$C$8/12)</f>
        <v>527.969714520512</v>
      </c>
      <c r="K106" s="13" t="n">
        <f aca="false">H106+I106+J106</f>
        <v>213827.734380807</v>
      </c>
      <c r="L106" s="13" t="n">
        <f aca="false">P105</f>
        <v>180464.01171995</v>
      </c>
      <c r="M106" s="13" t="n">
        <f aca="false">L106+B106</f>
        <v>181464.01171995</v>
      </c>
      <c r="N106" s="13" t="n">
        <f aca="false">M106*Inputs!$C$7</f>
        <v>1814.6401171995</v>
      </c>
      <c r="O106" s="13" t="n">
        <f aca="false">M106*(Inputs!$C$8/12)</f>
        <v>453.660029299874</v>
      </c>
      <c r="P106" s="13" t="n">
        <f aca="false">M106+N106</f>
        <v>183278.651837149</v>
      </c>
      <c r="Q106" s="13" t="n">
        <f aca="false">Q105+O106</f>
        <v>19819.6629592873</v>
      </c>
      <c r="R106" s="13" t="n">
        <f aca="false">R105+B106</f>
        <v>104000</v>
      </c>
    </row>
    <row r="107" customFormat="false" ht="15" hidden="false" customHeight="false" outlineLevel="0" collapsed="false">
      <c r="A107" s="18" t="n">
        <v>105</v>
      </c>
      <c r="B107" s="13" t="n">
        <f aca="false">Inputs!$C$6</f>
        <v>1000</v>
      </c>
      <c r="C107" s="13" t="n">
        <f aca="false">F106</f>
        <v>183278.651837149</v>
      </c>
      <c r="D107" s="13" t="n">
        <f aca="false">C107+B107</f>
        <v>184278.651837149</v>
      </c>
      <c r="E107" s="13" t="n">
        <f aca="false">D107*Inputs!$C$7</f>
        <v>1842.78651837149</v>
      </c>
      <c r="F107" s="13" t="n">
        <f aca="false">D107+E107</f>
        <v>186121.438355521</v>
      </c>
      <c r="G107" s="13" t="n">
        <f aca="false">K106</f>
        <v>213827.734380807</v>
      </c>
      <c r="H107" s="13" t="n">
        <f aca="false">G107+B107</f>
        <v>214827.734380807</v>
      </c>
      <c r="I107" s="13" t="n">
        <f aca="false">H107*Inputs!$C$7</f>
        <v>2148.27734380807</v>
      </c>
      <c r="J107" s="13" t="n">
        <f aca="false">H107*(Inputs!$C$8/12)</f>
        <v>537.069335952019</v>
      </c>
      <c r="K107" s="13" t="n">
        <f aca="false">H107+I107+J107</f>
        <v>217513.081060567</v>
      </c>
      <c r="L107" s="13" t="n">
        <f aca="false">P106</f>
        <v>183278.651837149</v>
      </c>
      <c r="M107" s="13" t="n">
        <f aca="false">L107+B107</f>
        <v>184278.651837149</v>
      </c>
      <c r="N107" s="13" t="n">
        <f aca="false">M107*Inputs!$C$7</f>
        <v>1842.78651837149</v>
      </c>
      <c r="O107" s="13" t="n">
        <f aca="false">M107*(Inputs!$C$8/12)</f>
        <v>460.696629592873</v>
      </c>
      <c r="P107" s="13" t="n">
        <f aca="false">M107+N107</f>
        <v>186121.438355521</v>
      </c>
      <c r="Q107" s="13" t="n">
        <f aca="false">Q106+O107</f>
        <v>20280.3595888802</v>
      </c>
      <c r="R107" s="13" t="n">
        <f aca="false">R106+B107</f>
        <v>105000</v>
      </c>
    </row>
    <row r="108" customFormat="false" ht="15" hidden="false" customHeight="false" outlineLevel="0" collapsed="false">
      <c r="A108" s="18" t="n">
        <v>106</v>
      </c>
      <c r="B108" s="13" t="n">
        <f aca="false">Inputs!$C$6</f>
        <v>1000</v>
      </c>
      <c r="C108" s="13" t="n">
        <f aca="false">F107</f>
        <v>186121.438355521</v>
      </c>
      <c r="D108" s="13" t="n">
        <f aca="false">C108+B108</f>
        <v>187121.438355521</v>
      </c>
      <c r="E108" s="13" t="n">
        <f aca="false">D108*Inputs!$C$7</f>
        <v>1871.21438355521</v>
      </c>
      <c r="F108" s="13" t="n">
        <f aca="false">D108+E108</f>
        <v>188992.652739076</v>
      </c>
      <c r="G108" s="13" t="n">
        <f aca="false">K107</f>
        <v>217513.081060567</v>
      </c>
      <c r="H108" s="13" t="n">
        <f aca="false">G108+B108</f>
        <v>218513.081060567</v>
      </c>
      <c r="I108" s="13" t="n">
        <f aca="false">H108*Inputs!$C$7</f>
        <v>2185.13081060567</v>
      </c>
      <c r="J108" s="13" t="n">
        <f aca="false">H108*(Inputs!$C$8/12)</f>
        <v>546.282702651419</v>
      </c>
      <c r="K108" s="13" t="n">
        <f aca="false">H108+I108+J108</f>
        <v>221244.494573825</v>
      </c>
      <c r="L108" s="13" t="n">
        <f aca="false">P107</f>
        <v>186121.438355521</v>
      </c>
      <c r="M108" s="13" t="n">
        <f aca="false">L108+B108</f>
        <v>187121.438355521</v>
      </c>
      <c r="N108" s="13" t="n">
        <f aca="false">M108*Inputs!$C$7</f>
        <v>1871.21438355521</v>
      </c>
      <c r="O108" s="13" t="n">
        <f aca="false">M108*(Inputs!$C$8/12)</f>
        <v>467.803595888802</v>
      </c>
      <c r="P108" s="13" t="n">
        <f aca="false">M108+N108</f>
        <v>188992.652739076</v>
      </c>
      <c r="Q108" s="13" t="n">
        <f aca="false">Q107+O108</f>
        <v>20748.163184769</v>
      </c>
      <c r="R108" s="13" t="n">
        <f aca="false">R107+B108</f>
        <v>106000</v>
      </c>
    </row>
    <row r="109" customFormat="false" ht="15" hidden="false" customHeight="false" outlineLevel="0" collapsed="false">
      <c r="A109" s="18" t="n">
        <v>107</v>
      </c>
      <c r="B109" s="13" t="n">
        <f aca="false">Inputs!$C$6</f>
        <v>1000</v>
      </c>
      <c r="C109" s="13" t="n">
        <f aca="false">F108</f>
        <v>188992.652739076</v>
      </c>
      <c r="D109" s="13" t="n">
        <f aca="false">C109+B109</f>
        <v>189992.652739076</v>
      </c>
      <c r="E109" s="13" t="n">
        <f aca="false">D109*Inputs!$C$7</f>
        <v>1899.92652739076</v>
      </c>
      <c r="F109" s="13" t="n">
        <f aca="false">D109+E109</f>
        <v>191892.579266467</v>
      </c>
      <c r="G109" s="13" t="n">
        <f aca="false">K108</f>
        <v>221244.494573825</v>
      </c>
      <c r="H109" s="13" t="n">
        <f aca="false">G109+B109</f>
        <v>222244.494573825</v>
      </c>
      <c r="I109" s="13" t="n">
        <f aca="false">H109*Inputs!$C$7</f>
        <v>2222.44494573825</v>
      </c>
      <c r="J109" s="13" t="n">
        <f aca="false">H109*(Inputs!$C$8/12)</f>
        <v>555.611236434561</v>
      </c>
      <c r="K109" s="13" t="n">
        <f aca="false">H109+I109+J109</f>
        <v>225022.550755997</v>
      </c>
      <c r="L109" s="13" t="n">
        <f aca="false">P108</f>
        <v>188992.652739076</v>
      </c>
      <c r="M109" s="13" t="n">
        <f aca="false">L109+B109</f>
        <v>189992.652739076</v>
      </c>
      <c r="N109" s="13" t="n">
        <f aca="false">M109*Inputs!$C$7</f>
        <v>1899.92652739076</v>
      </c>
      <c r="O109" s="13" t="n">
        <f aca="false">M109*(Inputs!$C$8/12)</f>
        <v>474.98163184769</v>
      </c>
      <c r="P109" s="13" t="n">
        <f aca="false">M109+N109</f>
        <v>191892.579266467</v>
      </c>
      <c r="Q109" s="13" t="n">
        <f aca="false">Q108+O109</f>
        <v>21223.1448166166</v>
      </c>
      <c r="R109" s="13" t="n">
        <f aca="false">R108+B109</f>
        <v>107000</v>
      </c>
    </row>
    <row r="110" customFormat="false" ht="15" hidden="false" customHeight="false" outlineLevel="0" collapsed="false">
      <c r="A110" s="18" t="n">
        <v>108</v>
      </c>
      <c r="B110" s="13" t="n">
        <f aca="false">Inputs!$C$6</f>
        <v>1000</v>
      </c>
      <c r="C110" s="13" t="n">
        <f aca="false">F109</f>
        <v>191892.579266467</v>
      </c>
      <c r="D110" s="13" t="n">
        <f aca="false">C110+B110</f>
        <v>192892.579266467</v>
      </c>
      <c r="E110" s="13" t="n">
        <f aca="false">D110*Inputs!$C$7</f>
        <v>1928.92579266467</v>
      </c>
      <c r="F110" s="13" t="n">
        <f aca="false">D110+E110</f>
        <v>194821.505059131</v>
      </c>
      <c r="G110" s="13" t="n">
        <f aca="false">K109</f>
        <v>225022.550755997</v>
      </c>
      <c r="H110" s="13" t="n">
        <f aca="false">G110+B110</f>
        <v>226022.550755997</v>
      </c>
      <c r="I110" s="13" t="n">
        <f aca="false">H110*Inputs!$C$7</f>
        <v>2260.22550755997</v>
      </c>
      <c r="J110" s="13" t="n">
        <f aca="false">H110*(Inputs!$C$8/12)</f>
        <v>565.056376889994</v>
      </c>
      <c r="K110" s="13" t="n">
        <f aca="false">H110+I110+J110</f>
        <v>228847.832640447</v>
      </c>
      <c r="L110" s="13" t="n">
        <f aca="false">P109</f>
        <v>191892.579266467</v>
      </c>
      <c r="M110" s="13" t="n">
        <f aca="false">L110+B110</f>
        <v>192892.579266467</v>
      </c>
      <c r="N110" s="13" t="n">
        <f aca="false">M110*Inputs!$C$7</f>
        <v>1928.92579266467</v>
      </c>
      <c r="O110" s="13" t="n">
        <f aca="false">M110*(Inputs!$C$8/12)</f>
        <v>482.231448166167</v>
      </c>
      <c r="P110" s="13" t="n">
        <f aca="false">M110+N110</f>
        <v>194821.505059131</v>
      </c>
      <c r="Q110" s="13" t="n">
        <f aca="false">Q109+O110</f>
        <v>21705.3762647828</v>
      </c>
      <c r="R110" s="13" t="n">
        <f aca="false">R109+B110</f>
        <v>108000</v>
      </c>
    </row>
    <row r="111" customFormat="false" ht="15" hidden="false" customHeight="false" outlineLevel="0" collapsed="false">
      <c r="A111" s="18" t="n">
        <v>109</v>
      </c>
      <c r="B111" s="13" t="n">
        <f aca="false">Inputs!$C$6</f>
        <v>1000</v>
      </c>
      <c r="C111" s="13" t="n">
        <f aca="false">F110</f>
        <v>194821.505059131</v>
      </c>
      <c r="D111" s="13" t="n">
        <f aca="false">C111+B111</f>
        <v>195821.505059131</v>
      </c>
      <c r="E111" s="13" t="n">
        <f aca="false">D111*Inputs!$C$7</f>
        <v>1958.21505059131</v>
      </c>
      <c r="F111" s="13" t="n">
        <f aca="false">D111+E111</f>
        <v>197779.720109723</v>
      </c>
      <c r="G111" s="13" t="n">
        <f aca="false">K110</f>
        <v>228847.832640447</v>
      </c>
      <c r="H111" s="13" t="n">
        <f aca="false">G111+B111</f>
        <v>229847.832640447</v>
      </c>
      <c r="I111" s="13" t="n">
        <f aca="false">H111*Inputs!$C$7</f>
        <v>2298.47832640447</v>
      </c>
      <c r="J111" s="13" t="n">
        <f aca="false">H111*(Inputs!$C$8/12)</f>
        <v>574.619581601118</v>
      </c>
      <c r="K111" s="13" t="n">
        <f aca="false">H111+I111+J111</f>
        <v>232720.930548453</v>
      </c>
      <c r="L111" s="13" t="n">
        <f aca="false">P110</f>
        <v>194821.505059131</v>
      </c>
      <c r="M111" s="13" t="n">
        <f aca="false">L111+B111</f>
        <v>195821.505059131</v>
      </c>
      <c r="N111" s="13" t="n">
        <f aca="false">M111*Inputs!$C$7</f>
        <v>1958.21505059131</v>
      </c>
      <c r="O111" s="13" t="n">
        <f aca="false">M111*(Inputs!$C$8/12)</f>
        <v>489.553762647828</v>
      </c>
      <c r="P111" s="13" t="n">
        <f aca="false">M111+N111</f>
        <v>197779.720109723</v>
      </c>
      <c r="Q111" s="13" t="n">
        <f aca="false">Q110+O111</f>
        <v>22194.9300274306</v>
      </c>
      <c r="R111" s="13" t="n">
        <f aca="false">R110+B111</f>
        <v>109000</v>
      </c>
    </row>
    <row r="112" customFormat="false" ht="15" hidden="false" customHeight="false" outlineLevel="0" collapsed="false">
      <c r="A112" s="18" t="n">
        <v>110</v>
      </c>
      <c r="B112" s="13" t="n">
        <f aca="false">Inputs!$C$6</f>
        <v>1000</v>
      </c>
      <c r="C112" s="13" t="n">
        <f aca="false">F111</f>
        <v>197779.720109723</v>
      </c>
      <c r="D112" s="13" t="n">
        <f aca="false">C112+B112</f>
        <v>198779.720109723</v>
      </c>
      <c r="E112" s="13" t="n">
        <f aca="false">D112*Inputs!$C$7</f>
        <v>1987.79720109723</v>
      </c>
      <c r="F112" s="13" t="n">
        <f aca="false">D112+E112</f>
        <v>200767.51731082</v>
      </c>
      <c r="G112" s="13" t="n">
        <f aca="false">K111</f>
        <v>232720.930548453</v>
      </c>
      <c r="H112" s="13" t="n">
        <f aca="false">G112+B112</f>
        <v>233720.930548453</v>
      </c>
      <c r="I112" s="13" t="n">
        <f aca="false">H112*Inputs!$C$7</f>
        <v>2337.20930548453</v>
      </c>
      <c r="J112" s="13" t="n">
        <f aca="false">H112*(Inputs!$C$8/12)</f>
        <v>584.302326371132</v>
      </c>
      <c r="K112" s="13" t="n">
        <f aca="false">H112+I112+J112</f>
        <v>236642.442180309</v>
      </c>
      <c r="L112" s="13" t="n">
        <f aca="false">P111</f>
        <v>197779.720109723</v>
      </c>
      <c r="M112" s="13" t="n">
        <f aca="false">L112+B112</f>
        <v>198779.720109723</v>
      </c>
      <c r="N112" s="13" t="n">
        <f aca="false">M112*Inputs!$C$7</f>
        <v>1987.79720109723</v>
      </c>
      <c r="O112" s="13" t="n">
        <f aca="false">M112*(Inputs!$C$8/12)</f>
        <v>496.949300274306</v>
      </c>
      <c r="P112" s="13" t="n">
        <f aca="false">M112+N112</f>
        <v>200767.51731082</v>
      </c>
      <c r="Q112" s="13" t="n">
        <f aca="false">Q111+O112</f>
        <v>22691.8793277049</v>
      </c>
      <c r="R112" s="13" t="n">
        <f aca="false">R111+B112</f>
        <v>110000</v>
      </c>
    </row>
    <row r="113" customFormat="false" ht="15" hidden="false" customHeight="false" outlineLevel="0" collapsed="false">
      <c r="A113" s="18" t="n">
        <v>111</v>
      </c>
      <c r="B113" s="13" t="n">
        <f aca="false">Inputs!$C$6</f>
        <v>1000</v>
      </c>
      <c r="C113" s="13" t="n">
        <f aca="false">F112</f>
        <v>200767.51731082</v>
      </c>
      <c r="D113" s="13" t="n">
        <f aca="false">C113+B113</f>
        <v>201767.51731082</v>
      </c>
      <c r="E113" s="13" t="n">
        <f aca="false">D113*Inputs!$C$7</f>
        <v>2017.6751731082</v>
      </c>
      <c r="F113" s="13" t="n">
        <f aca="false">D113+E113</f>
        <v>203785.192483928</v>
      </c>
      <c r="G113" s="13" t="n">
        <f aca="false">K112</f>
        <v>236642.442180309</v>
      </c>
      <c r="H113" s="13" t="n">
        <f aca="false">G113+B113</f>
        <v>237642.442180309</v>
      </c>
      <c r="I113" s="13" t="n">
        <f aca="false">H113*Inputs!$C$7</f>
        <v>2376.42442180309</v>
      </c>
      <c r="J113" s="13" t="n">
        <f aca="false">H113*(Inputs!$C$8/12)</f>
        <v>594.106105450772</v>
      </c>
      <c r="K113" s="13" t="n">
        <f aca="false">H113+I113+J113</f>
        <v>240612.972707562</v>
      </c>
      <c r="L113" s="13" t="n">
        <f aca="false">P112</f>
        <v>200767.51731082</v>
      </c>
      <c r="M113" s="13" t="n">
        <f aca="false">L113+B113</f>
        <v>201767.51731082</v>
      </c>
      <c r="N113" s="13" t="n">
        <f aca="false">M113*Inputs!$C$7</f>
        <v>2017.6751731082</v>
      </c>
      <c r="O113" s="13" t="n">
        <f aca="false">M113*(Inputs!$C$8/12)</f>
        <v>504.41879327705</v>
      </c>
      <c r="P113" s="13" t="n">
        <f aca="false">M113+N113</f>
        <v>203785.192483928</v>
      </c>
      <c r="Q113" s="13" t="n">
        <f aca="false">Q112+O113</f>
        <v>23196.298120982</v>
      </c>
      <c r="R113" s="13" t="n">
        <f aca="false">R112+B113</f>
        <v>111000</v>
      </c>
    </row>
    <row r="114" customFormat="false" ht="15" hidden="false" customHeight="false" outlineLevel="0" collapsed="false">
      <c r="A114" s="18" t="n">
        <v>112</v>
      </c>
      <c r="B114" s="13" t="n">
        <f aca="false">Inputs!$C$6</f>
        <v>1000</v>
      </c>
      <c r="C114" s="13" t="n">
        <f aca="false">F113</f>
        <v>203785.192483928</v>
      </c>
      <c r="D114" s="13" t="n">
        <f aca="false">C114+B114</f>
        <v>204785.192483928</v>
      </c>
      <c r="E114" s="13" t="n">
        <f aca="false">D114*Inputs!$C$7</f>
        <v>2047.85192483928</v>
      </c>
      <c r="F114" s="13" t="n">
        <f aca="false">D114+E114</f>
        <v>206833.044408767</v>
      </c>
      <c r="G114" s="13" t="n">
        <f aca="false">K113</f>
        <v>240612.972707562</v>
      </c>
      <c r="H114" s="13" t="n">
        <f aca="false">G114+B114</f>
        <v>241612.972707562</v>
      </c>
      <c r="I114" s="13" t="n">
        <f aca="false">H114*Inputs!$C$7</f>
        <v>2416.12972707563</v>
      </c>
      <c r="J114" s="13" t="n">
        <f aca="false">H114*(Inputs!$C$8/12)</f>
        <v>604.032431768906</v>
      </c>
      <c r="K114" s="13" t="n">
        <f aca="false">H114+I114+J114</f>
        <v>244633.134866407</v>
      </c>
      <c r="L114" s="13" t="n">
        <f aca="false">P113</f>
        <v>203785.192483928</v>
      </c>
      <c r="M114" s="13" t="n">
        <f aca="false">L114+B114</f>
        <v>204785.192483928</v>
      </c>
      <c r="N114" s="13" t="n">
        <f aca="false">M114*Inputs!$C$7</f>
        <v>2047.85192483928</v>
      </c>
      <c r="O114" s="13" t="n">
        <f aca="false">M114*(Inputs!$C$8/12)</f>
        <v>511.96298120982</v>
      </c>
      <c r="P114" s="13" t="n">
        <f aca="false">M114+N114</f>
        <v>206833.044408767</v>
      </c>
      <c r="Q114" s="13" t="n">
        <f aca="false">Q113+O114</f>
        <v>23708.2611021918</v>
      </c>
      <c r="R114" s="13" t="n">
        <f aca="false">R113+B114</f>
        <v>112000</v>
      </c>
    </row>
    <row r="115" customFormat="false" ht="15" hidden="false" customHeight="false" outlineLevel="0" collapsed="false">
      <c r="A115" s="18" t="n">
        <v>113</v>
      </c>
      <c r="B115" s="13" t="n">
        <f aca="false">Inputs!$C$6</f>
        <v>1000</v>
      </c>
      <c r="C115" s="13" t="n">
        <f aca="false">F114</f>
        <v>206833.044408767</v>
      </c>
      <c r="D115" s="13" t="n">
        <f aca="false">C115+B115</f>
        <v>207833.044408767</v>
      </c>
      <c r="E115" s="13" t="n">
        <f aca="false">D115*Inputs!$C$7</f>
        <v>2078.33044408767</v>
      </c>
      <c r="F115" s="13" t="n">
        <f aca="false">D115+E115</f>
        <v>209911.374852855</v>
      </c>
      <c r="G115" s="13" t="n">
        <f aca="false">K114</f>
        <v>244633.134866407</v>
      </c>
      <c r="H115" s="13" t="n">
        <f aca="false">G115+B115</f>
        <v>245633.134866407</v>
      </c>
      <c r="I115" s="13" t="n">
        <f aca="false">H115*Inputs!$C$7</f>
        <v>2456.33134866407</v>
      </c>
      <c r="J115" s="13" t="n">
        <f aca="false">H115*(Inputs!$C$8/12)</f>
        <v>614.082837166018</v>
      </c>
      <c r="K115" s="13" t="n">
        <f aca="false">H115+I115+J115</f>
        <v>248703.549052237</v>
      </c>
      <c r="L115" s="13" t="n">
        <f aca="false">P114</f>
        <v>206833.044408767</v>
      </c>
      <c r="M115" s="13" t="n">
        <f aca="false">L115+B115</f>
        <v>207833.044408767</v>
      </c>
      <c r="N115" s="13" t="n">
        <f aca="false">M115*Inputs!$C$7</f>
        <v>2078.33044408767</v>
      </c>
      <c r="O115" s="13" t="n">
        <f aca="false">M115*(Inputs!$C$8/12)</f>
        <v>519.582611021918</v>
      </c>
      <c r="P115" s="13" t="n">
        <f aca="false">M115+N115</f>
        <v>209911.374852855</v>
      </c>
      <c r="Q115" s="13" t="n">
        <f aca="false">Q114+O115</f>
        <v>24227.8437132137</v>
      </c>
      <c r="R115" s="13" t="n">
        <f aca="false">R114+B115</f>
        <v>113000</v>
      </c>
    </row>
    <row r="116" customFormat="false" ht="15" hidden="false" customHeight="false" outlineLevel="0" collapsed="false">
      <c r="A116" s="18" t="n">
        <v>114</v>
      </c>
      <c r="B116" s="13" t="n">
        <f aca="false">Inputs!$C$6</f>
        <v>1000</v>
      </c>
      <c r="C116" s="13" t="n">
        <f aca="false">F115</f>
        <v>209911.374852855</v>
      </c>
      <c r="D116" s="13" t="n">
        <f aca="false">C116+B116</f>
        <v>210911.374852855</v>
      </c>
      <c r="E116" s="13" t="n">
        <f aca="false">D116*Inputs!$C$7</f>
        <v>2109.11374852855</v>
      </c>
      <c r="F116" s="13" t="n">
        <f aca="false">D116+E116</f>
        <v>213020.488601384</v>
      </c>
      <c r="G116" s="13" t="n">
        <f aca="false">K115</f>
        <v>248703.549052237</v>
      </c>
      <c r="H116" s="13" t="n">
        <f aca="false">G116+B116</f>
        <v>249703.549052237</v>
      </c>
      <c r="I116" s="13" t="n">
        <f aca="false">H116*Inputs!$C$7</f>
        <v>2497.03549052237</v>
      </c>
      <c r="J116" s="13" t="n">
        <f aca="false">H116*(Inputs!$C$8/12)</f>
        <v>624.258872630593</v>
      </c>
      <c r="K116" s="13" t="n">
        <f aca="false">H116+I116+J116</f>
        <v>252824.84341539</v>
      </c>
      <c r="L116" s="13" t="n">
        <f aca="false">P115</f>
        <v>209911.374852855</v>
      </c>
      <c r="M116" s="13" t="n">
        <f aca="false">L116+B116</f>
        <v>210911.374852855</v>
      </c>
      <c r="N116" s="13" t="n">
        <f aca="false">M116*Inputs!$C$7</f>
        <v>2109.11374852855</v>
      </c>
      <c r="O116" s="13" t="n">
        <f aca="false">M116*(Inputs!$C$8/12)</f>
        <v>527.278437132138</v>
      </c>
      <c r="P116" s="13" t="n">
        <f aca="false">M116+N116</f>
        <v>213020.488601384</v>
      </c>
      <c r="Q116" s="13" t="n">
        <f aca="false">Q115+O116</f>
        <v>24755.1221503459</v>
      </c>
      <c r="R116" s="13" t="n">
        <f aca="false">R115+B116</f>
        <v>114000</v>
      </c>
    </row>
    <row r="117" customFormat="false" ht="15" hidden="false" customHeight="false" outlineLevel="0" collapsed="false">
      <c r="A117" s="18" t="n">
        <v>115</v>
      </c>
      <c r="B117" s="13" t="n">
        <f aca="false">Inputs!$C$6</f>
        <v>1000</v>
      </c>
      <c r="C117" s="13" t="n">
        <f aca="false">F116</f>
        <v>213020.488601384</v>
      </c>
      <c r="D117" s="13" t="n">
        <f aca="false">C117+B117</f>
        <v>214020.488601384</v>
      </c>
      <c r="E117" s="13" t="n">
        <f aca="false">D117*Inputs!$C$7</f>
        <v>2140.20488601384</v>
      </c>
      <c r="F117" s="13" t="n">
        <f aca="false">D117+E117</f>
        <v>216160.693487397</v>
      </c>
      <c r="G117" s="13" t="n">
        <f aca="false">K116</f>
        <v>252824.84341539</v>
      </c>
      <c r="H117" s="13" t="n">
        <f aca="false">G117+B117</f>
        <v>253824.84341539</v>
      </c>
      <c r="I117" s="13" t="n">
        <f aca="false">H117*Inputs!$C$7</f>
        <v>2538.2484341539</v>
      </c>
      <c r="J117" s="13" t="n">
        <f aca="false">H117*(Inputs!$C$8/12)</f>
        <v>634.562108538475</v>
      </c>
      <c r="K117" s="13" t="n">
        <f aca="false">H117+I117+J117</f>
        <v>256997.653958082</v>
      </c>
      <c r="L117" s="13" t="n">
        <f aca="false">P116</f>
        <v>213020.488601384</v>
      </c>
      <c r="M117" s="13" t="n">
        <f aca="false">L117+B117</f>
        <v>214020.488601384</v>
      </c>
      <c r="N117" s="13" t="n">
        <f aca="false">M117*Inputs!$C$7</f>
        <v>2140.20488601384</v>
      </c>
      <c r="O117" s="13" t="n">
        <f aca="false">M117*(Inputs!$C$8/12)</f>
        <v>535.051221503459</v>
      </c>
      <c r="P117" s="13" t="n">
        <f aca="false">M117+N117</f>
        <v>216160.693487397</v>
      </c>
      <c r="Q117" s="13" t="n">
        <f aca="false">Q116+O117</f>
        <v>25290.1733718493</v>
      </c>
      <c r="R117" s="13" t="n">
        <f aca="false">R116+B117</f>
        <v>115000</v>
      </c>
    </row>
    <row r="118" customFormat="false" ht="15" hidden="false" customHeight="false" outlineLevel="0" collapsed="false">
      <c r="A118" s="18" t="n">
        <v>116</v>
      </c>
      <c r="B118" s="13" t="n">
        <f aca="false">Inputs!$C$6</f>
        <v>1000</v>
      </c>
      <c r="C118" s="13" t="n">
        <f aca="false">F117</f>
        <v>216160.693487397</v>
      </c>
      <c r="D118" s="13" t="n">
        <f aca="false">C118+B118</f>
        <v>217160.693487397</v>
      </c>
      <c r="E118" s="13" t="n">
        <f aca="false">D118*Inputs!$C$7</f>
        <v>2171.60693487397</v>
      </c>
      <c r="F118" s="13" t="n">
        <f aca="false">D118+E118</f>
        <v>219332.300422271</v>
      </c>
      <c r="G118" s="13" t="n">
        <f aca="false">K117</f>
        <v>256997.653958082</v>
      </c>
      <c r="H118" s="13" t="n">
        <f aca="false">G118+B118</f>
        <v>257997.653958082</v>
      </c>
      <c r="I118" s="13" t="n">
        <f aca="false">H118*Inputs!$C$7</f>
        <v>2579.97653958082</v>
      </c>
      <c r="J118" s="13" t="n">
        <f aca="false">H118*(Inputs!$C$8/12)</f>
        <v>644.994134895206</v>
      </c>
      <c r="K118" s="13" t="n">
        <f aca="false">H118+I118+J118</f>
        <v>261222.624632558</v>
      </c>
      <c r="L118" s="13" t="n">
        <f aca="false">P117</f>
        <v>216160.693487397</v>
      </c>
      <c r="M118" s="13" t="n">
        <f aca="false">L118+B118</f>
        <v>217160.693487397</v>
      </c>
      <c r="N118" s="13" t="n">
        <f aca="false">M118*Inputs!$C$7</f>
        <v>2171.60693487397</v>
      </c>
      <c r="O118" s="13" t="n">
        <f aca="false">M118*(Inputs!$C$8/12)</f>
        <v>542.901733718494</v>
      </c>
      <c r="P118" s="13" t="n">
        <f aca="false">M118+N118</f>
        <v>219332.300422271</v>
      </c>
      <c r="Q118" s="13" t="n">
        <f aca="false">Q117+O118</f>
        <v>25833.0751055678</v>
      </c>
      <c r="R118" s="13" t="n">
        <f aca="false">R117+B118</f>
        <v>116000</v>
      </c>
    </row>
    <row r="119" customFormat="false" ht="15" hidden="false" customHeight="false" outlineLevel="0" collapsed="false">
      <c r="A119" s="18" t="n">
        <v>117</v>
      </c>
      <c r="B119" s="13" t="n">
        <f aca="false">Inputs!$C$6</f>
        <v>1000</v>
      </c>
      <c r="C119" s="13" t="n">
        <f aca="false">F118</f>
        <v>219332.300422271</v>
      </c>
      <c r="D119" s="13" t="n">
        <f aca="false">C119+B119</f>
        <v>220332.300422271</v>
      </c>
      <c r="E119" s="13" t="n">
        <f aca="false">D119*Inputs!$C$7</f>
        <v>2203.32300422271</v>
      </c>
      <c r="F119" s="13" t="n">
        <f aca="false">D119+E119</f>
        <v>222535.623426494</v>
      </c>
      <c r="G119" s="13" t="n">
        <f aca="false">K118</f>
        <v>261222.624632558</v>
      </c>
      <c r="H119" s="13" t="n">
        <f aca="false">G119+B119</f>
        <v>262222.624632558</v>
      </c>
      <c r="I119" s="13" t="n">
        <f aca="false">H119*Inputs!$C$7</f>
        <v>2622.22624632558</v>
      </c>
      <c r="J119" s="13" t="n">
        <f aca="false">H119*(Inputs!$C$8/12)</f>
        <v>655.556561581396</v>
      </c>
      <c r="K119" s="13" t="n">
        <f aca="false">H119+I119+J119</f>
        <v>265500.407440465</v>
      </c>
      <c r="L119" s="13" t="n">
        <f aca="false">P118</f>
        <v>219332.300422271</v>
      </c>
      <c r="M119" s="13" t="n">
        <f aca="false">L119+B119</f>
        <v>220332.300422271</v>
      </c>
      <c r="N119" s="13" t="n">
        <f aca="false">M119*Inputs!$C$7</f>
        <v>2203.32300422271</v>
      </c>
      <c r="O119" s="13" t="n">
        <f aca="false">M119*(Inputs!$C$8/12)</f>
        <v>550.830751055678</v>
      </c>
      <c r="P119" s="13" t="n">
        <f aca="false">M119+N119</f>
        <v>222535.623426494</v>
      </c>
      <c r="Q119" s="13" t="n">
        <f aca="false">Q118+O119</f>
        <v>26383.9058566235</v>
      </c>
      <c r="R119" s="13" t="n">
        <f aca="false">R118+B119</f>
        <v>117000</v>
      </c>
    </row>
    <row r="120" customFormat="false" ht="15" hidden="false" customHeight="false" outlineLevel="0" collapsed="false">
      <c r="A120" s="18" t="n">
        <v>118</v>
      </c>
      <c r="B120" s="13" t="n">
        <f aca="false">Inputs!$C$6</f>
        <v>1000</v>
      </c>
      <c r="C120" s="13" t="n">
        <f aca="false">F119</f>
        <v>222535.623426494</v>
      </c>
      <c r="D120" s="13" t="n">
        <f aca="false">C120+B120</f>
        <v>223535.623426494</v>
      </c>
      <c r="E120" s="13" t="n">
        <f aca="false">D120*Inputs!$C$7</f>
        <v>2235.35623426494</v>
      </c>
      <c r="F120" s="13" t="n">
        <f aca="false">D120+E120</f>
        <v>225770.979660759</v>
      </c>
      <c r="G120" s="13" t="n">
        <f aca="false">K119</f>
        <v>265500.407440465</v>
      </c>
      <c r="H120" s="13" t="n">
        <f aca="false">G120+B120</f>
        <v>266500.407440465</v>
      </c>
      <c r="I120" s="13" t="n">
        <f aca="false">H120*Inputs!$C$7</f>
        <v>2665.00407440465</v>
      </c>
      <c r="J120" s="13" t="n">
        <f aca="false">H120*(Inputs!$C$8/12)</f>
        <v>666.251018601164</v>
      </c>
      <c r="K120" s="13" t="n">
        <f aca="false">H120+I120+J120</f>
        <v>269831.662533471</v>
      </c>
      <c r="L120" s="13" t="n">
        <f aca="false">P119</f>
        <v>222535.623426494</v>
      </c>
      <c r="M120" s="13" t="n">
        <f aca="false">L120+B120</f>
        <v>223535.623426494</v>
      </c>
      <c r="N120" s="13" t="n">
        <f aca="false">M120*Inputs!$C$7</f>
        <v>2235.35623426494</v>
      </c>
      <c r="O120" s="13" t="n">
        <f aca="false">M120*(Inputs!$C$8/12)</f>
        <v>558.839058566235</v>
      </c>
      <c r="P120" s="13" t="n">
        <f aca="false">M120+N120</f>
        <v>225770.979660759</v>
      </c>
      <c r="Q120" s="13" t="n">
        <f aca="false">Q119+O120</f>
        <v>26942.7449151897</v>
      </c>
      <c r="R120" s="13" t="n">
        <f aca="false">R119+B120</f>
        <v>118000</v>
      </c>
    </row>
    <row r="121" customFormat="false" ht="15" hidden="false" customHeight="false" outlineLevel="0" collapsed="false">
      <c r="A121" s="18" t="n">
        <v>119</v>
      </c>
      <c r="B121" s="13" t="n">
        <f aca="false">Inputs!$C$6</f>
        <v>1000</v>
      </c>
      <c r="C121" s="13" t="n">
        <f aca="false">F120</f>
        <v>225770.979660759</v>
      </c>
      <c r="D121" s="13" t="n">
        <f aca="false">C121+B121</f>
        <v>226770.979660759</v>
      </c>
      <c r="E121" s="13" t="n">
        <f aca="false">D121*Inputs!$C$7</f>
        <v>2267.70979660759</v>
      </c>
      <c r="F121" s="13" t="n">
        <f aca="false">D121+E121</f>
        <v>229038.689457367</v>
      </c>
      <c r="G121" s="13" t="n">
        <f aca="false">K120</f>
        <v>269831.662533471</v>
      </c>
      <c r="H121" s="13" t="n">
        <f aca="false">G121+B121</f>
        <v>270831.662533471</v>
      </c>
      <c r="I121" s="13" t="n">
        <f aca="false">H121*Inputs!$C$7</f>
        <v>2708.31662533471</v>
      </c>
      <c r="J121" s="13" t="n">
        <f aca="false">H121*(Inputs!$C$8/12)</f>
        <v>677.079156333678</v>
      </c>
      <c r="K121" s="13" t="n">
        <f aca="false">H121+I121+J121</f>
        <v>274217.05831514</v>
      </c>
      <c r="L121" s="13" t="n">
        <f aca="false">P120</f>
        <v>225770.979660759</v>
      </c>
      <c r="M121" s="13" t="n">
        <f aca="false">L121+B121</f>
        <v>226770.979660759</v>
      </c>
      <c r="N121" s="13" t="n">
        <f aca="false">M121*Inputs!$C$7</f>
        <v>2267.70979660759</v>
      </c>
      <c r="O121" s="13" t="n">
        <f aca="false">M121*(Inputs!$C$8/12)</f>
        <v>566.927449151898</v>
      </c>
      <c r="P121" s="13" t="n">
        <f aca="false">M121+N121</f>
        <v>229038.689457367</v>
      </c>
      <c r="Q121" s="13" t="n">
        <f aca="false">Q120+O121</f>
        <v>27509.6723643416</v>
      </c>
      <c r="R121" s="13" t="n">
        <f aca="false">R120+B121</f>
        <v>119000</v>
      </c>
    </row>
    <row r="122" customFormat="false" ht="15" hidden="false" customHeight="false" outlineLevel="0" collapsed="false">
      <c r="A122" s="18" t="n">
        <v>120</v>
      </c>
      <c r="B122" s="13" t="n">
        <f aca="false">Inputs!$C$6</f>
        <v>1000</v>
      </c>
      <c r="C122" s="13" t="n">
        <f aca="false">F121</f>
        <v>229038.689457367</v>
      </c>
      <c r="D122" s="13" t="n">
        <f aca="false">C122+B122</f>
        <v>230038.689457367</v>
      </c>
      <c r="E122" s="13" t="n">
        <f aca="false">D122*Inputs!$C$7</f>
        <v>2300.38689457367</v>
      </c>
      <c r="F122" s="13" t="n">
        <f aca="false">D122+E122</f>
        <v>232339.07635194</v>
      </c>
      <c r="G122" s="13" t="n">
        <f aca="false">K121</f>
        <v>274217.05831514</v>
      </c>
      <c r="H122" s="13" t="n">
        <f aca="false">G122+B122</f>
        <v>275217.05831514</v>
      </c>
      <c r="I122" s="13" t="n">
        <f aca="false">H122*Inputs!$C$7</f>
        <v>2752.1705831514</v>
      </c>
      <c r="J122" s="13" t="n">
        <f aca="false">H122*(Inputs!$C$8/12)</f>
        <v>688.042645787849</v>
      </c>
      <c r="K122" s="13" t="n">
        <f aca="false">H122+I122+J122</f>
        <v>278657.271544079</v>
      </c>
      <c r="L122" s="13" t="n">
        <f aca="false">P121</f>
        <v>229038.689457367</v>
      </c>
      <c r="M122" s="13" t="n">
        <f aca="false">L122+B122</f>
        <v>230038.689457367</v>
      </c>
      <c r="N122" s="13" t="n">
        <f aca="false">M122*Inputs!$C$7</f>
        <v>2300.38689457367</v>
      </c>
      <c r="O122" s="13" t="n">
        <f aca="false">M122*(Inputs!$C$8/12)</f>
        <v>575.096723643417</v>
      </c>
      <c r="P122" s="13" t="n">
        <f aca="false">M122+N122</f>
        <v>232339.07635194</v>
      </c>
      <c r="Q122" s="13" t="n">
        <f aca="false">Q121+O122</f>
        <v>28084.7690879851</v>
      </c>
      <c r="R122" s="13" t="n">
        <f aca="false">R121+B122</f>
        <v>120000</v>
      </c>
    </row>
  </sheetData>
  <mergeCells count="3">
    <mergeCell ref="C1:F1"/>
    <mergeCell ref="G1:K1"/>
    <mergeCell ref="L1:Q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2026-09-16T10:12:41Z</dcterms:created>
  <dc:creator>openpyxl</dc:creator>
  <dc:description/>
  <dc:language>en-US</dc:language>
  <cp:lastModifiedBy/>
  <dcterms:modified xsi:type="dcterms:W3CDTF">2026-09-16T10:12:45Z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